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FK_MAP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SV_MANIFEST" sheetId="7" state="visible" r:id="rId7"/>
    <sheet xmlns:r="http://schemas.openxmlformats.org/officeDocument/2006/relationships" name="DATASETS" sheetId="8" state="visible" r:id="rId8"/>
    <sheet xmlns:r="http://schemas.openxmlformats.org/officeDocument/2006/relationships" name="CHANGELOG" sheetId="9" state="visible" r:id="rId9"/>
  </sheets>
  <definedNames>
    <definedName name="_xlnm._FilterDatabase" localSheetId="0" hidden="1">'RULES'!$A$1:$M$37</definedName>
    <definedName name="_xlnm._FilterDatabase" localSheetId="1" hidden="1">'FK_MAP'!$A$1:$G$22</definedName>
    <definedName name="_xlnm._FilterDatabase" localSheetId="2" hidden="1">'EMPLOYEES'!$A$1:$H$46</definedName>
    <definedName name="_xlnm._FilterDatabase" localSheetId="4" hidden="1">'PRODUCTS'!$A$1:$F$1</definedName>
    <definedName name="_xlnm._FilterDatabase" localSheetId="6" hidden="1">'CSV_MANIFEST'!$A$1:$M$16</definedName>
    <definedName name="_xlnm._FilterDatabase" localSheetId="8" hidden="1">'CHANGELOG'!$A$1:$H$17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21" customWidth="1" min="5" max="5"/>
    <col width="19" customWidth="1" min="6" max="6"/>
    <col width="52" customWidth="1" min="7" max="7"/>
    <col width="14" customWidth="1" min="8" max="8"/>
    <col width="23" customWidth="1" min="9" max="9"/>
    <col width="52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validation_type</t>
        </is>
      </c>
      <c r="G1" s="1" t="inlineStr">
        <is>
          <t>condition</t>
        </is>
      </c>
      <c r="H1" s="1" t="inlineStr">
        <is>
          <t>ref_sheet</t>
        </is>
      </c>
      <c r="I1" s="1" t="inlineStr">
        <is>
          <t>ref_column</t>
        </is>
      </c>
      <c r="J1" s="1" t="inlineStr">
        <is>
          <t>description</t>
        </is>
      </c>
      <c r="K1" s="1" t="inlineStr">
        <is>
          <t>origin</t>
        </is>
      </c>
      <c r="L1" s="1" t="inlineStr">
        <is>
          <t>bug_ref</t>
        </is>
      </c>
      <c r="M1" s="1" t="inlineStr">
        <is>
          <t>added_date</t>
        </is>
      </c>
    </row>
    <row r="2">
      <c r="A2" s="2" t="inlineStr">
        <is>
          <t>QB_001</t>
        </is>
      </c>
      <c r="B2" s="2" t="inlineStr">
        <is>
          <t>QB</t>
        </is>
      </c>
      <c r="C2" s="2" t="inlineStr">
        <is>
          <t>BLOCKER</t>
        </is>
      </c>
      <c r="D2" s="2" t="inlineStr">
        <is>
          <t>ALL</t>
        </is>
      </c>
      <c r="E2" s="2" t="inlineStr">
        <is>
          <t>dataset_id</t>
        </is>
      </c>
      <c r="F2" s="2" t="inlineStr">
        <is>
          <t>EXACT_MATCH</t>
        </is>
      </c>
      <c r="G2" s="2">
        <f>= '321c6fa0-a4ee-4e05-b085-7b4d51473495'</f>
        <v/>
      </c>
      <c r="H2" s="2" t="inlineStr"/>
      <c r="I2" s="2" t="inlineStr"/>
      <c r="J2" s="2" t="inlineStr">
        <is>
          <t>All rows must have correct dataset_id</t>
        </is>
      </c>
      <c r="K2" s="2" t="inlineStr">
        <is>
          <t>Augusto</t>
        </is>
      </c>
      <c r="L2" s="2" t="inlineStr"/>
      <c r="M2" s="2" t="inlineStr">
        <is>
          <t>2026-01</t>
        </is>
      </c>
    </row>
    <row r="3">
      <c r="A3" s="2" t="inlineStr">
        <is>
          <t>QB_002</t>
        </is>
      </c>
      <c r="B3" s="2" t="inlineStr">
        <is>
          <t>QB</t>
        </is>
      </c>
      <c r="C3" s="2" t="inlineStr">
        <is>
          <t>BLOCKER</t>
        </is>
      </c>
      <c r="D3" s="2" t="inlineStr">
        <is>
          <t>ALL</t>
        </is>
      </c>
      <c r="E3" s="2" t="inlineStr">
        <is>
          <t>company_type</t>
        </is>
      </c>
      <c r="F3" s="2" t="inlineStr">
        <is>
          <t>ENUM</t>
        </is>
      </c>
      <c r="G3" s="2" t="inlineStr">
        <is>
          <t>IN ref</t>
        </is>
      </c>
      <c r="H3" s="2" t="inlineStr">
        <is>
          <t>ENUMS</t>
        </is>
      </c>
      <c r="I3" s="2" t="inlineStr">
        <is>
          <t>company_type</t>
        </is>
      </c>
      <c r="J3" s="2" t="inlineStr">
        <is>
          <t>Must be parent/main_child/secondary_child</t>
        </is>
      </c>
      <c r="K3" s="2" t="inlineStr">
        <is>
          <t>Augusto</t>
        </is>
      </c>
      <c r="L3" s="2" t="inlineStr"/>
      <c r="M3" s="2" t="inlineStr">
        <is>
          <t>2026-01</t>
        </is>
      </c>
    </row>
    <row r="4">
      <c r="A4" s="2" t="inlineStr">
        <is>
          <t>QB_003</t>
        </is>
      </c>
      <c r="B4" s="2" t="inlineStr">
        <is>
          <t>QB</t>
        </is>
      </c>
      <c r="C4" s="2" t="inlineStr">
        <is>
          <t>BLOCKER</t>
        </is>
      </c>
      <c r="D4" s="2" t="inlineStr">
        <is>
          <t>ALL</t>
        </is>
      </c>
      <c r="E4" s="2" t="inlineStr">
        <is>
          <t>*_relative|*_date</t>
        </is>
      </c>
      <c r="F4" s="2" t="inlineStr">
        <is>
          <t>RANGE</t>
        </is>
      </c>
      <c r="G4" s="2" t="inlineStr">
        <is>
          <t>interval_days &lt;= 365</t>
        </is>
      </c>
      <c r="H4" s="2" t="inlineStr"/>
      <c r="I4" s="2" t="inlineStr"/>
      <c r="J4" s="2" t="inlineStr">
        <is>
          <t>All relative dates must be &lt;= 365 days</t>
        </is>
      </c>
      <c r="K4" s="2" t="inlineStr">
        <is>
          <t>Augusto</t>
        </is>
      </c>
      <c r="L4" s="2" t="inlineStr"/>
      <c r="M4" s="2" t="inlineStr">
        <is>
          <t>2026-01</t>
        </is>
      </c>
    </row>
    <row r="5">
      <c r="A5" s="2" t="inlineStr">
        <is>
          <t>QB_004</t>
        </is>
      </c>
      <c r="B5" s="2" t="inlineStr">
        <is>
          <t>QB</t>
        </is>
      </c>
      <c r="C5" s="2" t="inlineStr">
        <is>
          <t>BLOCKER</t>
        </is>
      </c>
      <c r="D5" s="2" t="inlineStr">
        <is>
          <t>ALL</t>
        </is>
      </c>
      <c r="E5" s="2" t="inlineStr">
        <is>
          <t>*_relative</t>
        </is>
      </c>
      <c r="F5" s="2" t="inlineStr">
        <is>
          <t>COVERAGE</t>
        </is>
      </c>
      <c r="G5" s="2" t="inlineStr">
        <is>
          <t>covers months 1-12</t>
        </is>
      </c>
      <c r="H5" s="2" t="inlineStr"/>
      <c r="I5" s="2" t="inlineStr"/>
      <c r="J5" s="2" t="inlineStr">
        <is>
          <t>Dates must cover full year (12 months)</t>
        </is>
      </c>
      <c r="K5" s="2" t="inlineStr">
        <is>
          <t>Augusto</t>
        </is>
      </c>
      <c r="L5" s="2" t="inlineStr"/>
      <c r="M5" s="2" t="inlineStr">
        <is>
          <t>2026-02-07</t>
        </is>
      </c>
    </row>
    <row r="6">
      <c r="A6" s="2" t="inlineStr">
        <is>
          <t>QB_005</t>
        </is>
      </c>
      <c r="B6" s="2" t="inlineStr">
        <is>
          <t>QB</t>
        </is>
      </c>
      <c r="C6" s="2" t="inlineStr">
        <is>
          <t>BLOCKER</t>
        </is>
      </c>
      <c r="D6" s="2" t="inlineStr">
        <is>
          <t>ALL</t>
        </is>
      </c>
      <c r="E6" s="2" t="inlineStr">
        <is>
          <t>base_date</t>
        </is>
      </c>
      <c r="F6" s="2" t="inlineStr">
        <is>
          <t>EXACT_MATCH</t>
        </is>
      </c>
      <c r="G6" s="2">
        <f>= 'first_of_year'</f>
        <v/>
      </c>
      <c r="H6" s="2" t="inlineStr"/>
      <c r="I6" s="2" t="inlineStr"/>
      <c r="J6" s="2" t="inlineStr">
        <is>
          <t>base_date always 'first_of_year', never YYYY-MM-DD</t>
        </is>
      </c>
      <c r="K6" s="2" t="inlineStr">
        <is>
          <t>Augusto</t>
        </is>
      </c>
      <c r="L6" s="2" t="inlineStr"/>
      <c r="M6" s="2" t="inlineStr">
        <is>
          <t>2026-01</t>
        </is>
      </c>
    </row>
    <row r="7">
      <c r="A7" s="2" t="inlineStr">
        <is>
          <t>QB_006</t>
        </is>
      </c>
      <c r="B7" s="2" t="inlineStr">
        <is>
          <t>QB</t>
        </is>
      </c>
      <c r="C7" s="2" t="inlineStr">
        <is>
          <t>BLOCKER</t>
        </is>
      </c>
      <c r="D7" s="2" t="inlineStr">
        <is>
          <t>ALL</t>
        </is>
      </c>
      <c r="E7" s="2" t="inlineStr">
        <is>
          <t>*_relative</t>
        </is>
      </c>
      <c r="F7" s="2" t="inlineStr">
        <is>
          <t>FORMAT</t>
        </is>
      </c>
      <c r="G7" s="2" t="inlineStr">
        <is>
          <t>regex: ^\d+ mons? \d+ days?</t>
        </is>
      </c>
      <c r="H7" s="2" t="inlineStr"/>
      <c r="I7" s="2" t="inlineStr"/>
      <c r="J7" s="2" t="inlineStr">
        <is>
          <t>PostgreSQL interval format only</t>
        </is>
      </c>
      <c r="K7" s="2" t="inlineStr">
        <is>
          <t>bug#6</t>
        </is>
      </c>
      <c r="L7" s="2" t="inlineStr"/>
      <c r="M7" s="2" t="inlineStr">
        <is>
          <t>2026-01</t>
        </is>
      </c>
    </row>
    <row r="8">
      <c r="A8" s="2" t="inlineStr">
        <is>
          <t>QB_007</t>
        </is>
      </c>
      <c r="B8" s="2" t="inlineStr">
        <is>
          <t>QB</t>
        </is>
      </c>
      <c r="C8" s="2" t="inlineStr">
        <is>
          <t>BLOCKER</t>
        </is>
      </c>
      <c r="D8" s="2" t="inlineStr">
        <is>
          <t>ALL</t>
        </is>
      </c>
      <c r="E8" s="2" t="inlineStr">
        <is>
          <t>id</t>
        </is>
      </c>
      <c r="F8" s="2" t="inlineStr">
        <is>
          <t>GLOBAL_UNIQUE</t>
        </is>
      </c>
      <c r="G8" s="2" t="inlineStr">
        <is>
          <t>no collision cross-dataset</t>
        </is>
      </c>
      <c r="H8" s="2" t="inlineStr"/>
      <c r="I8" s="2" t="inlineStr"/>
      <c r="J8" s="2" t="inlineStr">
        <is>
          <t>IDs must be globally unique (query MAX(id) from DB first)</t>
        </is>
      </c>
      <c r="K8" s="2" t="inlineStr">
        <is>
          <t>collision</t>
        </is>
      </c>
      <c r="L8" s="2" t="inlineStr"/>
      <c r="M8" s="2" t="inlineStr">
        <is>
          <t>2026-01</t>
        </is>
      </c>
    </row>
    <row r="9">
      <c r="A9" s="2" t="inlineStr">
        <is>
          <t>QB_008</t>
        </is>
      </c>
      <c r="B9" s="2" t="inlineStr">
        <is>
          <t>QB</t>
        </is>
      </c>
      <c r="C9" s="2" t="inlineStr">
        <is>
          <t>BLOCKER</t>
        </is>
      </c>
      <c r="D9" s="2" t="inlineStr">
        <is>
          <t>ALL</t>
        </is>
      </c>
      <c r="E9" s="2" t="inlineStr">
        <is>
          <t>id</t>
        </is>
      </c>
      <c r="F9" s="2" t="inlineStr">
        <is>
          <t>SEQUENTIAL</t>
        </is>
      </c>
      <c r="G9" s="2" t="inlineStr">
        <is>
          <t>no gaps in sequence</t>
        </is>
      </c>
      <c r="H9" s="2" t="inlineStr"/>
      <c r="I9" s="2" t="inlineStr"/>
      <c r="J9" s="2" t="inlineStr">
        <is>
          <t>IDs sequential without gaps</t>
        </is>
      </c>
      <c r="K9" s="2" t="inlineStr"/>
      <c r="L9" s="2" t="inlineStr"/>
      <c r="M9" s="2" t="inlineStr">
        <is>
          <t>2026-01</t>
        </is>
      </c>
    </row>
    <row r="10">
      <c r="A10" s="2" t="inlineStr">
        <is>
          <t>QB_009</t>
        </is>
      </c>
      <c r="B10" s="2" t="inlineStr">
        <is>
          <t>QB</t>
        </is>
      </c>
      <c r="C10" s="2" t="inlineStr">
        <is>
          <t>BLOCKER</t>
        </is>
      </c>
      <c r="D10" s="2" t="inlineStr">
        <is>
          <t>ALL</t>
        </is>
      </c>
      <c r="E10" s="2" t="inlineStr">
        <is>
          <t>*_id (FK)</t>
        </is>
      </c>
      <c r="F10" s="2" t="inlineStr">
        <is>
          <t>FK_EXISTS</t>
        </is>
      </c>
      <c r="G10" s="2" t="inlineStr">
        <is>
          <t>IN ref_sheet.id</t>
        </is>
      </c>
      <c r="H10" s="2" t="inlineStr">
        <is>
          <t>FK_MAP</t>
        </is>
      </c>
      <c r="I10" s="2" t="inlineStr"/>
      <c r="J10" s="2" t="inlineStr">
        <is>
          <t>All FKs must reference existing records in DB</t>
        </is>
      </c>
      <c r="K10" s="2" t="inlineStr">
        <is>
          <t>bug#21,22</t>
        </is>
      </c>
      <c r="L10" s="2" t="inlineStr">
        <is>
          <t>#21,#22</t>
        </is>
      </c>
      <c r="M10" s="2" t="inlineStr">
        <is>
          <t>2026-02-09</t>
        </is>
      </c>
    </row>
    <row r="11">
      <c r="A11" s="2" t="inlineStr">
        <is>
          <t>QB_010</t>
        </is>
      </c>
      <c r="B11" s="2" t="inlineStr">
        <is>
          <t>QB</t>
        </is>
      </c>
      <c r="C11" s="2" t="inlineStr">
        <is>
          <t>BLOCKER</t>
        </is>
      </c>
      <c r="D11" s="2" t="inlineStr">
        <is>
          <t>invoices,bills</t>
        </is>
      </c>
      <c r="E11" s="2" t="inlineStr">
        <is>
          <t>parent-&gt;LI</t>
        </is>
      </c>
      <c r="F11" s="2" t="inlineStr">
        <is>
          <t>HAS_CHILDREN</t>
        </is>
      </c>
      <c r="G11" s="2" t="inlineStr">
        <is>
          <t>count(LI) &gt;= 1</t>
        </is>
      </c>
      <c r="H11" s="2" t="inlineStr"/>
      <c r="I11" s="2" t="inlineStr"/>
      <c r="J11" s="2" t="inlineStr">
        <is>
          <t>Every parent must have at least 1 line item</t>
        </is>
      </c>
      <c r="K11" s="2" t="inlineStr"/>
      <c r="L11" s="2" t="inlineStr"/>
      <c r="M11" s="2" t="inlineStr">
        <is>
          <t>2026-01</t>
        </is>
      </c>
    </row>
    <row r="12">
      <c r="A12" s="2" t="inlineStr">
        <is>
          <t>QB_011</t>
        </is>
      </c>
      <c r="B12" s="2" t="inlineStr">
        <is>
          <t>QB</t>
        </is>
      </c>
      <c r="C12" s="2" t="inlineStr">
        <is>
          <t>BLOCKER</t>
        </is>
      </c>
      <c r="D12" s="2" t="inlineStr">
        <is>
          <t>bills</t>
        </is>
      </c>
      <c r="E12" s="2" t="inlineStr">
        <is>
          <t>paid_date</t>
        </is>
      </c>
      <c r="F12" s="2" t="inlineStr">
        <is>
          <t>NOT_NULL</t>
        </is>
      </c>
      <c r="G12" s="2" t="inlineStr">
        <is>
          <t>!= NULL, != ''</t>
        </is>
      </c>
      <c r="H12" s="2" t="inlineStr"/>
      <c r="I12" s="2" t="inlineStr"/>
      <c r="J12" s="2" t="inlineStr">
        <is>
          <t>Bills paid_date must be filled</t>
        </is>
      </c>
      <c r="K12" s="2" t="inlineStr">
        <is>
          <t>Augusto</t>
        </is>
      </c>
      <c r="L12" s="2" t="inlineStr"/>
      <c r="M12" s="2" t="inlineStr">
        <is>
          <t>2026-01</t>
        </is>
      </c>
    </row>
    <row r="13">
      <c r="A13" s="2" t="inlineStr">
        <is>
          <t>QB_012</t>
        </is>
      </c>
      <c r="B13" s="2" t="inlineStr">
        <is>
          <t>QB</t>
        </is>
      </c>
      <c r="C13" s="2" t="inlineStr">
        <is>
          <t>BLOCKER</t>
        </is>
      </c>
      <c r="D13" s="2" t="inlineStr">
        <is>
          <t>bank_txns</t>
        </is>
      </c>
      <c r="E13" s="2" t="inlineStr">
        <is>
          <t>account</t>
        </is>
      </c>
      <c r="F13" s="2" t="inlineStr">
        <is>
          <t>LOOKUP</t>
        </is>
      </c>
      <c r="G13" s="2" t="inlineStr">
        <is>
          <t>parent=5, child=6</t>
        </is>
      </c>
      <c r="H13" s="2" t="inlineStr"/>
      <c r="I13" s="2" t="inlineStr"/>
      <c r="J13" s="2" t="inlineStr">
        <is>
          <t>Bank account by company type</t>
        </is>
      </c>
      <c r="K13" s="2" t="inlineStr">
        <is>
          <t>Augusto</t>
        </is>
      </c>
      <c r="L13" s="2" t="inlineStr"/>
      <c r="M13" s="2" t="inlineStr">
        <is>
          <t>2026-01</t>
        </is>
      </c>
    </row>
    <row r="14">
      <c r="A14" s="2" t="inlineStr">
        <is>
          <t>QB_013</t>
        </is>
      </c>
      <c r="B14" s="2" t="inlineStr">
        <is>
          <t>QB</t>
        </is>
      </c>
      <c r="C14" s="2" t="inlineStr">
        <is>
          <t>BLOCKER</t>
        </is>
      </c>
      <c r="D14" s="2" t="inlineStr">
        <is>
          <t>invoice_li,bill_li</t>
        </is>
      </c>
      <c r="E14" s="2" t="inlineStr">
        <is>
          <t>qty</t>
        </is>
      </c>
      <c r="F14" s="2" t="inlineStr">
        <is>
          <t>RANGE</t>
        </is>
      </c>
      <c r="G14" s="2" t="inlineStr">
        <is>
          <t>&gt;= 1</t>
        </is>
      </c>
      <c r="H14" s="2" t="inlineStr"/>
      <c r="I14" s="2" t="inlineStr"/>
      <c r="J14" s="2" t="inlineStr">
        <is>
          <t>Line item qty must be &gt;= 1</t>
        </is>
      </c>
      <c r="K14" s="2" t="inlineStr">
        <is>
          <t>Augusto</t>
        </is>
      </c>
      <c r="L14" s="2" t="inlineStr">
        <is>
          <t>#10</t>
        </is>
      </c>
      <c r="M14" s="2" t="inlineStr">
        <is>
          <t>2026-02-07</t>
        </is>
      </c>
    </row>
    <row r="15">
      <c r="A15" s="2" t="inlineStr">
        <is>
          <t>QB_014</t>
        </is>
      </c>
      <c r="B15" s="2" t="inlineStr">
        <is>
          <t>QB</t>
        </is>
      </c>
      <c r="C15" s="2" t="inlineStr">
        <is>
          <t>BLOCKER</t>
        </is>
      </c>
      <c r="D15" s="2" t="inlineStr">
        <is>
          <t>invoices,bills</t>
        </is>
      </c>
      <c r="E15" s="2" t="inlineStr">
        <is>
          <t>terms+date</t>
        </is>
      </c>
      <c r="F15" s="2" t="inlineStr">
        <is>
          <t>FORMULA</t>
        </is>
      </c>
      <c r="G15" s="2" t="inlineStr">
        <is>
          <t>terms_days + relative_days &lt;= 365</t>
        </is>
      </c>
      <c r="H15" s="2" t="inlineStr"/>
      <c r="I15" s="2" t="inlineStr"/>
      <c r="J15" s="2" t="inlineStr">
        <is>
          <t>Terms + date cannot overflow 365 days</t>
        </is>
      </c>
      <c r="K15" s="2" t="inlineStr">
        <is>
          <t>bug#10</t>
        </is>
      </c>
      <c r="L15" s="2" t="inlineStr">
        <is>
          <t>#10</t>
        </is>
      </c>
      <c r="M15" s="2" t="inlineStr">
        <is>
          <t>2026-02-07</t>
        </is>
      </c>
    </row>
    <row r="16">
      <c r="A16" s="2" t="inlineStr">
        <is>
          <t>QB_015</t>
        </is>
      </c>
      <c r="B16" s="2" t="inlineStr">
        <is>
          <t>QB</t>
        </is>
      </c>
      <c r="C16" s="2" t="inlineStr">
        <is>
          <t>BLOCKER</t>
        </is>
      </c>
      <c r="D16" s="2" t="inlineStr">
        <is>
          <t>bill_li</t>
        </is>
      </c>
      <c r="E16" s="2" t="inlineStr">
        <is>
          <t>product_service_id</t>
        </is>
      </c>
      <c r="F16" s="2" t="inlineStr">
        <is>
          <t>FK_FILTERED</t>
        </is>
      </c>
      <c r="G16" s="2" t="inlineStr">
        <is>
          <t>product.purchasable == true</t>
        </is>
      </c>
      <c r="H16" s="2" t="inlineStr">
        <is>
          <t>PRODUCTS</t>
        </is>
      </c>
      <c r="I16" s="2" t="inlineStr">
        <is>
          <t>purchasable</t>
        </is>
      </c>
      <c r="J16" s="2" t="inlineStr">
        <is>
          <t>Bills only reference purchasable products</t>
        </is>
      </c>
      <c r="K16" s="2" t="inlineStr">
        <is>
          <t>Lucas T</t>
        </is>
      </c>
      <c r="L16" s="2" t="inlineStr"/>
      <c r="M16" s="2" t="inlineStr">
        <is>
          <t>2026-02-07</t>
        </is>
      </c>
    </row>
    <row r="17">
      <c r="A17" s="2" t="inlineStr">
        <is>
          <t>QB_016</t>
        </is>
      </c>
      <c r="B17" s="2" t="inlineStr">
        <is>
          <t>QB</t>
        </is>
      </c>
      <c r="C17" s="2" t="inlineStr">
        <is>
          <t>BLOCKER</t>
        </is>
      </c>
      <c r="D17" s="2" t="inlineStr">
        <is>
          <t>invoice_li,bill_li</t>
        </is>
      </c>
      <c r="E17" s="2" t="inlineStr">
        <is>
          <t>amount</t>
        </is>
      </c>
      <c r="F17" s="2" t="inlineStr">
        <is>
          <t>FORMULA</t>
        </is>
      </c>
      <c r="G17" s="2" t="inlineStr">
        <is>
          <t>amount == rate * qty (2 decimal)</t>
        </is>
      </c>
      <c r="H17" s="2" t="inlineStr"/>
      <c r="I17" s="2" t="inlineStr"/>
      <c r="J17" s="2" t="inlineStr">
        <is>
          <t>Amount = UnitPrice x Qty exactly</t>
        </is>
      </c>
      <c r="K17" s="2" t="inlineStr">
        <is>
          <t>web</t>
        </is>
      </c>
      <c r="L17" s="2" t="inlineStr"/>
      <c r="M17" s="2" t="inlineStr">
        <is>
          <t>2026-02-08</t>
        </is>
      </c>
    </row>
    <row r="18">
      <c r="A18" s="3" t="inlineStr">
        <is>
          <t>QB_017</t>
        </is>
      </c>
      <c r="B18" s="3" t="inlineStr">
        <is>
          <t>QB</t>
        </is>
      </c>
      <c r="C18" s="3" t="inlineStr">
        <is>
          <t>HIGH</t>
        </is>
      </c>
      <c r="D18" s="3" t="inlineStr">
        <is>
          <t>invoices,bills</t>
        </is>
      </c>
      <c r="E18" s="3" t="inlineStr">
        <is>
          <t>doc_number</t>
        </is>
      </c>
      <c r="F18" s="3" t="inlineStr">
        <is>
          <t>MAX_LENGTH</t>
        </is>
      </c>
      <c r="G18" s="3" t="inlineStr">
        <is>
          <t>len &lt;= 21</t>
        </is>
      </c>
      <c r="H18" s="3" t="inlineStr"/>
      <c r="I18" s="3" t="inlineStr"/>
      <c r="J18" s="3" t="inlineStr">
        <is>
          <t>DocNumber max 21 chars (QBO truncates silently)</t>
        </is>
      </c>
      <c r="K18" s="3" t="inlineStr">
        <is>
          <t>web</t>
        </is>
      </c>
      <c r="L18" s="3" t="inlineStr"/>
      <c r="M18" s="3" t="inlineStr">
        <is>
          <t>2026-02-08</t>
        </is>
      </c>
    </row>
    <row r="19">
      <c r="A19" s="2" t="inlineStr">
        <is>
          <t>QB_018</t>
        </is>
      </c>
      <c r="B19" s="2" t="inlineStr">
        <is>
          <t>QB</t>
        </is>
      </c>
      <c r="C19" s="2" t="inlineStr">
        <is>
          <t>BLOCKER</t>
        </is>
      </c>
      <c r="D19" s="2" t="inlineStr">
        <is>
          <t>estimates</t>
        </is>
      </c>
      <c r="E19" s="2" t="inlineStr">
        <is>
          <t>target_status</t>
        </is>
      </c>
      <c r="F19" s="2" t="inlineStr">
        <is>
          <t>ENUM</t>
        </is>
      </c>
      <c r="G19" s="2" t="inlineStr">
        <is>
          <t>IN ref</t>
        </is>
      </c>
      <c r="H19" s="2" t="inlineStr">
        <is>
          <t>ENUMS</t>
        </is>
      </c>
      <c r="I19" s="2" t="inlineStr">
        <is>
          <t>estimate_status</t>
        </is>
      </c>
      <c r="J19" s="2" t="inlineStr">
        <is>
          <t>Only 'accepted' or 'cancelled'</t>
        </is>
      </c>
      <c r="K19" s="2" t="inlineStr">
        <is>
          <t>DB analysis</t>
        </is>
      </c>
      <c r="L19" s="2" t="inlineStr"/>
      <c r="M19" s="2" t="inlineStr">
        <is>
          <t>2026-02-08</t>
        </is>
      </c>
    </row>
    <row r="20">
      <c r="A20" s="2" t="inlineStr">
        <is>
          <t>QB_019</t>
        </is>
      </c>
      <c r="B20" s="2" t="inlineStr">
        <is>
          <t>QB</t>
        </is>
      </c>
      <c r="C20" s="2" t="inlineStr">
        <is>
          <t>BLOCKER</t>
        </is>
      </c>
      <c r="D20" s="2" t="inlineStr">
        <is>
          <t>est_li_class,po_li_class</t>
        </is>
      </c>
      <c r="E20" s="2" t="inlineStr">
        <is>
          <t>per_line_item</t>
        </is>
      </c>
      <c r="F20" s="2" t="inlineStr">
        <is>
          <t>COUNT</t>
        </is>
      </c>
      <c r="G20" s="2">
        <f>= 4 per LI</f>
        <v/>
      </c>
      <c r="H20" s="2" t="inlineStr"/>
      <c r="I20" s="2" t="inlineStr"/>
      <c r="J20" s="2" t="inlineStr">
        <is>
          <t>Exactly 4 classification entries per line item</t>
        </is>
      </c>
      <c r="K20" s="2" t="inlineStr">
        <is>
          <t>DB analysis</t>
        </is>
      </c>
      <c r="L20" s="2" t="inlineStr"/>
      <c r="M20" s="2" t="inlineStr">
        <is>
          <t>2026-02-08</t>
        </is>
      </c>
    </row>
    <row r="21">
      <c r="A21" s="2" t="inlineStr">
        <is>
          <t>QB_020</t>
        </is>
      </c>
      <c r="B21" s="2" t="inlineStr">
        <is>
          <t>QB</t>
        </is>
      </c>
      <c r="C21" s="2" t="inlineStr">
        <is>
          <t>BLOCKER</t>
        </is>
      </c>
      <c r="D21" s="2" t="inlineStr">
        <is>
          <t>expenses</t>
        </is>
      </c>
      <c r="E21" s="2" t="inlineStr">
        <is>
          <t>employee_id</t>
        </is>
      </c>
      <c r="F21" s="2" t="inlineStr">
        <is>
          <t>FK_EXISTS</t>
        </is>
      </c>
      <c r="G21" s="2" t="inlineStr">
        <is>
          <t>IN ref_sheet.id</t>
        </is>
      </c>
      <c r="H21" s="2" t="inlineStr">
        <is>
          <t>EMPLOYEES</t>
        </is>
      </c>
      <c r="I21" s="2" t="inlineStr">
        <is>
          <t>id</t>
        </is>
      </c>
      <c r="J21" s="2" t="inlineStr">
        <is>
          <t>employee_id must exist in employees table (has gaps!)</t>
        </is>
      </c>
      <c r="K21" s="2" t="inlineStr">
        <is>
          <t>bug#21</t>
        </is>
      </c>
      <c r="L21" s="2" t="inlineStr">
        <is>
          <t>#21</t>
        </is>
      </c>
      <c r="M21" s="2" t="inlineStr">
        <is>
          <t>2026-02-09</t>
        </is>
      </c>
    </row>
    <row r="22">
      <c r="A22" s="2" t="inlineStr">
        <is>
          <t>QB_021</t>
        </is>
      </c>
      <c r="B22" s="2" t="inlineStr">
        <is>
          <t>QB</t>
        </is>
      </c>
      <c r="C22" s="2" t="inlineStr">
        <is>
          <t>BLOCKER</t>
        </is>
      </c>
      <c r="D22" s="2" t="inlineStr">
        <is>
          <t>time_entries</t>
        </is>
      </c>
      <c r="E22" s="2" t="inlineStr">
        <is>
          <t>project_id</t>
        </is>
      </c>
      <c r="F22" s="2" t="inlineStr">
        <is>
          <t>FK_FILTERED</t>
        </is>
      </c>
      <c r="G22" s="2" t="inlineStr">
        <is>
          <t>project.status == 'In progress'</t>
        </is>
      </c>
      <c r="H22" s="2" t="inlineStr">
        <is>
          <t>PROJECTS</t>
        </is>
      </c>
      <c r="I22" s="2" t="inlineStr">
        <is>
          <t>status</t>
        </is>
      </c>
      <c r="J22" s="2" t="inlineStr">
        <is>
          <t>Only reference active (In progress) projects</t>
        </is>
      </c>
      <c r="K22" s="2" t="inlineStr">
        <is>
          <t>bug#22</t>
        </is>
      </c>
      <c r="L22" s="2" t="inlineStr">
        <is>
          <t>#22</t>
        </is>
      </c>
      <c r="M22" s="2" t="inlineStr">
        <is>
          <t>2026-02-09</t>
        </is>
      </c>
    </row>
    <row r="23">
      <c r="A23" s="2" t="inlineStr">
        <is>
          <t>QB_022</t>
        </is>
      </c>
      <c r="B23" s="2" t="inlineStr">
        <is>
          <t>QB</t>
        </is>
      </c>
      <c r="C23" s="2" t="inlineStr">
        <is>
          <t>BLOCKER</t>
        </is>
      </c>
      <c r="D23" s="2" t="inlineStr">
        <is>
          <t>time_entries</t>
        </is>
      </c>
      <c r="E23" s="2" t="inlineStr">
        <is>
          <t>start_date</t>
        </is>
      </c>
      <c r="F23" s="2" t="inlineStr">
        <is>
          <t>CROSS_REF</t>
        </is>
      </c>
      <c r="G23" s="2" t="inlineStr">
        <is>
          <t>month BETWEEN project.start_month AND project.end_month</t>
        </is>
      </c>
      <c r="H23" s="2" t="inlineStr">
        <is>
          <t>PROJECTS</t>
        </is>
      </c>
      <c r="I23" s="2" t="inlineStr">
        <is>
          <t>start_month,end_month</t>
        </is>
      </c>
      <c r="J23" s="2" t="inlineStr">
        <is>
          <t>Time entry date must fall within project active period</t>
        </is>
      </c>
      <c r="K23" s="2" t="inlineStr">
        <is>
          <t>bug#24</t>
        </is>
      </c>
      <c r="L23" s="2" t="inlineStr">
        <is>
          <t>#24</t>
        </is>
      </c>
      <c r="M23" s="2" t="inlineStr">
        <is>
          <t>2026-02-09</t>
        </is>
      </c>
    </row>
    <row r="24">
      <c r="A24" s="3" t="inlineStr">
        <is>
          <t>BIZ_001</t>
        </is>
      </c>
      <c r="B24" s="3" t="inlineStr">
        <is>
          <t>BIZ</t>
        </is>
      </c>
      <c r="C24" s="3" t="inlineStr">
        <is>
          <t>HIGH</t>
        </is>
      </c>
      <c r="D24" s="3" t="inlineStr">
        <is>
          <t>ALL_FINANCIAL</t>
        </is>
      </c>
      <c r="E24" s="3" t="inlineStr">
        <is>
          <t>P&amp;L</t>
        </is>
      </c>
      <c r="F24" s="3" t="inlineStr">
        <is>
          <t>FORMULA</t>
        </is>
      </c>
      <c r="G24" s="3" t="inlineStr">
        <is>
          <t>income - costs &gt; 0 per CT per month</t>
        </is>
      </c>
      <c r="H24" s="3" t="inlineStr"/>
      <c r="I24" s="3" t="inlineStr"/>
      <c r="J24" s="3" t="inlineStr">
        <is>
          <t>P&amp;L must be positive per company type per month</t>
        </is>
      </c>
      <c r="K24" s="3" t="inlineStr"/>
      <c r="L24" s="3" t="inlineStr"/>
      <c r="M24" s="3" t="inlineStr">
        <is>
          <t>2026-01</t>
        </is>
      </c>
    </row>
    <row r="25">
      <c r="A25" s="3" t="inlineStr">
        <is>
          <t>BIZ_002</t>
        </is>
      </c>
      <c r="B25" s="3" t="inlineStr">
        <is>
          <t>BIZ</t>
        </is>
      </c>
      <c r="C25" s="3" t="inlineStr">
        <is>
          <t>HIGH</t>
        </is>
      </c>
      <c r="D25" s="3" t="inlineStr">
        <is>
          <t>invoices</t>
        </is>
      </c>
      <c r="E25" s="3" t="inlineStr">
        <is>
          <t>COGS</t>
        </is>
      </c>
      <c r="F25" s="3" t="inlineStr">
        <is>
          <t>AWARENESS</t>
        </is>
      </c>
      <c r="G25" s="3" t="inlineStr">
        <is>
          <t>FIFO for 38 inventory products</t>
        </is>
      </c>
      <c r="H25" s="3" t="inlineStr"/>
      <c r="I25" s="3" t="inlineStr"/>
      <c r="J25" s="3" t="inlineStr">
        <is>
          <t>COGS generated on invoice creation (not payment)</t>
        </is>
      </c>
      <c r="K25" s="3" t="inlineStr">
        <is>
          <t>web</t>
        </is>
      </c>
      <c r="L25" s="3" t="inlineStr"/>
      <c r="M25" s="3" t="inlineStr">
        <is>
          <t>2026-02-08</t>
        </is>
      </c>
    </row>
    <row r="26">
      <c r="A26" s="4" t="inlineStr">
        <is>
          <t>BIZ_003</t>
        </is>
      </c>
      <c r="B26" s="4" t="inlineStr">
        <is>
          <t>BIZ</t>
        </is>
      </c>
      <c r="C26" s="4" t="inlineStr">
        <is>
          <t>MEDIUM</t>
        </is>
      </c>
      <c r="D26" s="4" t="inlineStr">
        <is>
          <t>ALL_FINANCIAL</t>
        </is>
      </c>
      <c r="E26" s="4" t="inlineStr">
        <is>
          <t>budget</t>
        </is>
      </c>
      <c r="F26" s="4" t="inlineStr">
        <is>
          <t>CROSS_TABLE</t>
        </is>
      </c>
      <c r="G26" s="4" t="inlineStr">
        <is>
          <t>costs &lt; income per CT</t>
        </is>
      </c>
      <c r="H26" s="4" t="inlineStr"/>
      <c r="I26" s="4" t="inlineStr"/>
      <c r="J26" s="4" t="inlineStr">
        <is>
          <t>Expense budget caps enforced</t>
        </is>
      </c>
      <c r="K26" s="4" t="inlineStr"/>
      <c r="L26" s="4" t="inlineStr">
        <is>
          <t>#4</t>
        </is>
      </c>
      <c r="M26" s="4" t="inlineStr">
        <is>
          <t>2026-01</t>
        </is>
      </c>
    </row>
    <row r="27">
      <c r="A27" s="3" t="inlineStr">
        <is>
          <t>BIZ_004</t>
        </is>
      </c>
      <c r="B27" s="3" t="inlineStr">
        <is>
          <t>BIZ</t>
        </is>
      </c>
      <c r="C27" s="3" t="inlineStr">
        <is>
          <t>HIGH</t>
        </is>
      </c>
      <c r="D27" s="3" t="inlineStr">
        <is>
          <t>invoices</t>
        </is>
      </c>
      <c r="E27" s="3" t="inlineStr">
        <is>
          <t>payroll</t>
        </is>
      </c>
      <c r="F27" s="3" t="inlineStr">
        <is>
          <t>AWARENESS</t>
        </is>
      </c>
      <c r="G27" s="3" t="inlineStr">
        <is>
          <t>main_child has $1.78M hidden payroll</t>
        </is>
      </c>
      <c r="H27" s="3" t="inlineStr"/>
      <c r="I27" s="3" t="inlineStr"/>
      <c r="J27" s="3" t="inlineStr">
        <is>
          <t>Account for payroll in P&amp;L calculations</t>
        </is>
      </c>
      <c r="K27" s="3" t="inlineStr"/>
      <c r="L27" s="3" t="inlineStr">
        <is>
          <t>#7</t>
        </is>
      </c>
      <c r="M27" s="3" t="inlineStr">
        <is>
          <t>2026-01</t>
        </is>
      </c>
    </row>
    <row r="28">
      <c r="A28" s="4" t="inlineStr">
        <is>
          <t>RL_001</t>
        </is>
      </c>
      <c r="B28" s="4" t="inlineStr">
        <is>
          <t>RL</t>
        </is>
      </c>
      <c r="C28" s="4" t="inlineStr">
        <is>
          <t>MEDIUM</t>
        </is>
      </c>
      <c r="D28" s="4" t="inlineStr">
        <is>
          <t>ALL</t>
        </is>
      </c>
      <c r="E28" s="4" t="inlineStr">
        <is>
          <t>notes</t>
        </is>
      </c>
      <c r="F28" s="4" t="inlineStr">
        <is>
          <t>DISTRIBUTION</t>
        </is>
      </c>
      <c r="G28" s="4" t="inlineStr">
        <is>
          <t>5-8 templates, 40% null</t>
        </is>
      </c>
      <c r="H28" s="4" t="inlineStr"/>
      <c r="I28" s="4" t="inlineStr"/>
      <c r="J28" s="4" t="inlineStr">
        <is>
          <t>Notes variation for realism</t>
        </is>
      </c>
      <c r="K28" s="4" t="inlineStr"/>
      <c r="L28" s="4" t="inlineStr"/>
      <c r="M28" s="4" t="inlineStr">
        <is>
          <t>2026-01</t>
        </is>
      </c>
    </row>
    <row r="29">
      <c r="A29" s="4" t="inlineStr">
        <is>
          <t>RL_002</t>
        </is>
      </c>
      <c r="B29" s="4" t="inlineStr">
        <is>
          <t>RL</t>
        </is>
      </c>
      <c r="C29" s="4" t="inlineStr">
        <is>
          <t>MEDIUM</t>
        </is>
      </c>
      <c r="D29" s="4" t="inlineStr">
        <is>
          <t>invoices,bills</t>
        </is>
      </c>
      <c r="E29" s="4" t="inlineStr">
        <is>
          <t>terms</t>
        </is>
      </c>
      <c r="F29" s="4" t="inlineStr">
        <is>
          <t>DISTRIBUTION</t>
        </is>
      </c>
      <c r="G29" s="4" t="inlineStr">
        <is>
          <t>Net30:40%, Net45:25%, Net60:20%, DOR:10%, Net90:5%</t>
        </is>
      </c>
      <c r="H29" s="4" t="inlineStr">
        <is>
          <t>ENUMS</t>
        </is>
      </c>
      <c r="I29" s="4" t="inlineStr">
        <is>
          <t>terms</t>
        </is>
      </c>
      <c r="J29" s="4" t="inlineStr">
        <is>
          <t>Terms distribution for realism</t>
        </is>
      </c>
      <c r="K29" s="4" t="inlineStr"/>
      <c r="L29" s="4" t="inlineStr"/>
      <c r="M29" s="4" t="inlineStr">
        <is>
          <t>2026-01</t>
        </is>
      </c>
    </row>
    <row r="30">
      <c r="A30" s="4" t="inlineStr">
        <is>
          <t>RL_003</t>
        </is>
      </c>
      <c r="B30" s="4" t="inlineStr">
        <is>
          <t>RL</t>
        </is>
      </c>
      <c r="C30" s="4" t="inlineStr">
        <is>
          <t>MEDIUM</t>
        </is>
      </c>
      <c r="D30" s="4" t="inlineStr">
        <is>
          <t>invoice_li</t>
        </is>
      </c>
      <c r="E30" s="4" t="inlineStr">
        <is>
          <t>count_per_parent</t>
        </is>
      </c>
      <c r="F30" s="4" t="inlineStr">
        <is>
          <t>DISTRIBUTION</t>
        </is>
      </c>
      <c r="G30" s="4" t="inlineStr">
        <is>
          <t>log-normal 1-25</t>
        </is>
      </c>
      <c r="H30" s="4" t="inlineStr"/>
      <c r="I30" s="4" t="inlineStr"/>
      <c r="J30" s="4" t="inlineStr">
        <is>
          <t>Line item count follows log-normal distribution</t>
        </is>
      </c>
      <c r="K30" s="4" t="inlineStr"/>
      <c r="L30" s="4" t="inlineStr"/>
      <c r="M30" s="4" t="inlineStr">
        <is>
          <t>2026-01</t>
        </is>
      </c>
    </row>
    <row r="31">
      <c r="A31" s="4" t="inlineStr">
        <is>
          <t>RL_004</t>
        </is>
      </c>
      <c r="B31" s="4" t="inlineStr">
        <is>
          <t>RL</t>
        </is>
      </c>
      <c r="C31" s="4" t="inlineStr">
        <is>
          <t>MEDIUM</t>
        </is>
      </c>
      <c r="D31" s="4" t="inlineStr">
        <is>
          <t>invoices</t>
        </is>
      </c>
      <c r="E31" s="4" t="inlineStr">
        <is>
          <t>amount_range</t>
        </is>
      </c>
      <c r="F31" s="4" t="inlineStr">
        <is>
          <t>RANGE</t>
        </is>
      </c>
      <c r="G31" s="4" t="inlineStr">
        <is>
          <t>500 - 200000</t>
        </is>
      </c>
      <c r="H31" s="4" t="inlineStr"/>
      <c r="I31" s="4" t="inlineStr"/>
      <c r="J31" s="4" t="inlineStr">
        <is>
          <t>Invoice amount realistic range</t>
        </is>
      </c>
      <c r="K31" s="4" t="inlineStr"/>
      <c r="L31" s="4" t="inlineStr"/>
      <c r="M31" s="4" t="inlineStr">
        <is>
          <t>2026-01</t>
        </is>
      </c>
    </row>
    <row r="32">
      <c r="A32" s="4" t="inlineStr">
        <is>
          <t>RL_005</t>
        </is>
      </c>
      <c r="B32" s="4" t="inlineStr">
        <is>
          <t>RL</t>
        </is>
      </c>
      <c r="C32" s="4" t="inlineStr">
        <is>
          <t>MEDIUM</t>
        </is>
      </c>
      <c r="D32" s="4" t="inlineStr">
        <is>
          <t>invoices</t>
        </is>
      </c>
      <c r="E32" s="4" t="inlineStr">
        <is>
          <t>customer-project</t>
        </is>
      </c>
      <c r="F32" s="4" t="inlineStr">
        <is>
          <t>AFFINITY</t>
        </is>
      </c>
      <c r="G32" s="4" t="inlineStr">
        <is>
          <t>1-2 projects per customer</t>
        </is>
      </c>
      <c r="H32" s="4" t="inlineStr"/>
      <c r="I32" s="4" t="inlineStr"/>
      <c r="J32" s="4" t="inlineStr">
        <is>
          <t>Customer-project affinity maintained</t>
        </is>
      </c>
      <c r="K32" s="4" t="inlineStr"/>
      <c r="L32" s="4" t="inlineStr"/>
      <c r="M32" s="4" t="inlineStr">
        <is>
          <t>2026-01</t>
        </is>
      </c>
    </row>
    <row r="33">
      <c r="A33" s="4" t="inlineStr">
        <is>
          <t>RL_006</t>
        </is>
      </c>
      <c r="B33" s="4" t="inlineStr">
        <is>
          <t>RL</t>
        </is>
      </c>
      <c r="C33" s="4" t="inlineStr">
        <is>
          <t>MEDIUM</t>
        </is>
      </c>
      <c r="D33" s="4" t="inlineStr">
        <is>
          <t>invoice_li</t>
        </is>
      </c>
      <c r="E33" s="4" t="inlineStr">
        <is>
          <t>product per invoice</t>
        </is>
      </c>
      <c r="F33" s="4" t="inlineStr">
        <is>
          <t>UNIQUE_PER_PARENT</t>
        </is>
      </c>
      <c r="G33" s="4" t="inlineStr">
        <is>
          <t>no duplicates</t>
        </is>
      </c>
      <c r="H33" s="4" t="inlineStr"/>
      <c r="I33" s="4" t="inlineStr"/>
      <c r="J33" s="4" t="inlineStr">
        <is>
          <t>No duplicate products per invoice</t>
        </is>
      </c>
      <c r="K33" s="4" t="inlineStr"/>
      <c r="L33" s="4" t="inlineStr"/>
      <c r="M33" s="4" t="inlineStr">
        <is>
          <t>2026-01</t>
        </is>
      </c>
    </row>
    <row r="34">
      <c r="A34" s="4" t="inlineStr">
        <is>
          <t>RL_007</t>
        </is>
      </c>
      <c r="B34" s="4" t="inlineStr">
        <is>
          <t>RL</t>
        </is>
      </c>
      <c r="C34" s="4" t="inlineStr">
        <is>
          <t>MEDIUM</t>
        </is>
      </c>
      <c r="D34" s="4" t="inlineStr">
        <is>
          <t>bills</t>
        </is>
      </c>
      <c r="E34" s="4" t="inlineStr">
        <is>
          <t>bill-PO link</t>
        </is>
      </c>
      <c r="F34" s="4" t="inlineStr">
        <is>
          <t>PERCENTAGE</t>
        </is>
      </c>
      <c r="G34" s="4" t="inlineStr">
        <is>
          <t>~22% linked</t>
        </is>
      </c>
      <c r="H34" s="4" t="inlineStr"/>
      <c r="I34" s="4" t="inlineStr"/>
      <c r="J34" s="4" t="inlineStr">
        <is>
          <t>Bills linked to POs at realistic rate</t>
        </is>
      </c>
      <c r="K34" s="4" t="inlineStr"/>
      <c r="L34" s="4" t="inlineStr">
        <is>
          <t>#19,#20</t>
        </is>
      </c>
      <c r="M34" s="4" t="inlineStr">
        <is>
          <t>2026-02</t>
        </is>
      </c>
    </row>
    <row r="35">
      <c r="A35" s="4" t="inlineStr">
        <is>
          <t>RL_008</t>
        </is>
      </c>
      <c r="B35" s="4" t="inlineStr">
        <is>
          <t>RL</t>
        </is>
      </c>
      <c r="C35" s="4" t="inlineStr">
        <is>
          <t>MEDIUM</t>
        </is>
      </c>
      <c r="D35" s="4" t="inlineStr">
        <is>
          <t>expenses</t>
        </is>
      </c>
      <c r="E35" s="4" t="inlineStr">
        <is>
          <t>expense-estimate</t>
        </is>
      </c>
      <c r="F35" s="4" t="inlineStr">
        <is>
          <t>PERCENTAGE</t>
        </is>
      </c>
      <c r="G35" s="4" t="inlineStr">
        <is>
          <t>~7-10% linked</t>
        </is>
      </c>
      <c r="H35" s="4" t="inlineStr"/>
      <c r="I35" s="4" t="inlineStr"/>
      <c r="J35" s="4" t="inlineStr">
        <is>
          <t>Expenses linked to estimates at realistic rate</t>
        </is>
      </c>
      <c r="K35" s="4" t="inlineStr"/>
      <c r="L35" s="4" t="inlineStr">
        <is>
          <t>#19</t>
        </is>
      </c>
      <c r="M35" s="4" t="inlineStr">
        <is>
          <t>2026-02</t>
        </is>
      </c>
    </row>
    <row r="36">
      <c r="A36" s="4" t="inlineStr">
        <is>
          <t>RL_009</t>
        </is>
      </c>
      <c r="B36" s="4" t="inlineStr">
        <is>
          <t>RL</t>
        </is>
      </c>
      <c r="C36" s="4" t="inlineStr">
        <is>
          <t>LOW</t>
        </is>
      </c>
      <c r="D36" s="4" t="inlineStr">
        <is>
          <t>bills</t>
        </is>
      </c>
      <c r="E36" s="4" t="inlineStr">
        <is>
          <t>vendor-product</t>
        </is>
      </c>
      <c r="F36" s="4" t="inlineStr">
        <is>
          <t>AFFINITY</t>
        </is>
      </c>
      <c r="G36" s="4" t="inlineStr">
        <is>
          <t>consistent specialization</t>
        </is>
      </c>
      <c r="H36" s="4" t="inlineStr"/>
      <c r="I36" s="4" t="inlineStr"/>
      <c r="J36" s="4" t="inlineStr">
        <is>
          <t>Vendor-product affinity for realism</t>
        </is>
      </c>
      <c r="K36" s="4" t="inlineStr"/>
      <c r="L36" s="4" t="inlineStr"/>
      <c r="M36" s="4" t="inlineStr">
        <is>
          <t>2026-01</t>
        </is>
      </c>
    </row>
    <row r="37">
      <c r="A37" s="4" t="inlineStr">
        <is>
          <t>RL_010</t>
        </is>
      </c>
      <c r="B37" s="4" t="inlineStr">
        <is>
          <t>RL</t>
        </is>
      </c>
      <c r="C37" s="4" t="inlineStr">
        <is>
          <t>LOW</t>
        </is>
      </c>
      <c r="D37" s="4" t="inlineStr">
        <is>
          <t>bills</t>
        </is>
      </c>
      <c r="E37" s="4" t="inlineStr">
        <is>
          <t>status</t>
        </is>
      </c>
      <c r="F37" s="4" t="inlineStr">
        <is>
          <t>CONVENTION</t>
        </is>
      </c>
      <c r="G37" s="4" t="inlineStr">
        <is>
          <t>empty string when paid</t>
        </is>
      </c>
      <c r="H37" s="4" t="inlineStr"/>
      <c r="I37" s="4" t="inlineStr"/>
      <c r="J37" s="4" t="inlineStr">
        <is>
          <t>Bill status = '' when paid (QBO convention)</t>
        </is>
      </c>
      <c r="K37" s="4" t="inlineStr"/>
      <c r="L37" s="4" t="inlineStr">
        <is>
          <t>#16</t>
        </is>
      </c>
      <c r="M37" s="4" t="inlineStr">
        <is>
          <t>2026-01</t>
        </is>
      </c>
    </row>
  </sheetData>
  <autoFilter ref="A1:M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5" customWidth="1" min="4" max="4"/>
    <col width="22" customWidth="1" min="5" max="5"/>
    <col width="14" customWidth="1" min="6" max="6"/>
    <col width="35" customWidth="1" min="7" max="7"/>
  </cols>
  <sheetData>
    <row r="1">
      <c r="A1" s="1" t="inlineStr">
        <is>
          <t>source_table</t>
        </is>
      </c>
      <c r="B1" s="1" t="inlineStr">
        <is>
          <t>source_column</t>
        </is>
      </c>
      <c r="C1" s="1" t="inlineStr">
        <is>
          <t>target_table</t>
        </is>
      </c>
      <c r="D1" s="1" t="inlineStr">
        <is>
          <t>target_column</t>
        </is>
      </c>
      <c r="E1" s="1" t="inlineStr">
        <is>
          <t>filter</t>
        </is>
      </c>
      <c r="F1" s="1" t="inlineStr">
        <is>
          <t>ref_sheet</t>
        </is>
      </c>
      <c r="G1" s="1" t="inlineStr">
        <is>
          <t>notes</t>
        </is>
      </c>
    </row>
    <row r="2">
      <c r="A2" s="4" t="inlineStr">
        <is>
          <t>expenses</t>
        </is>
      </c>
      <c r="B2" s="4" t="inlineStr">
        <is>
          <t>employee_id</t>
        </is>
      </c>
      <c r="C2" s="4" t="inlineStr">
        <is>
          <t>employees</t>
        </is>
      </c>
      <c r="D2" s="4" t="inlineStr">
        <is>
          <t>id</t>
        </is>
      </c>
      <c r="E2" s="4" t="inlineStr">
        <is>
          <t>dataset_id match</t>
        </is>
      </c>
      <c r="F2" s="4" t="inlineStr">
        <is>
          <t>EMPLOYEES</t>
        </is>
      </c>
      <c r="G2" s="4" t="inlineStr">
        <is>
          <t>Has gaps: 4,6,38,42,46,48 missing</t>
        </is>
      </c>
    </row>
    <row r="3">
      <c r="A3" s="4" t="inlineStr">
        <is>
          <t>time_entries</t>
        </is>
      </c>
      <c r="B3" s="4" t="inlineStr">
        <is>
          <t>employee_id</t>
        </is>
      </c>
      <c r="C3" s="4" t="inlineStr">
        <is>
          <t>employees</t>
        </is>
      </c>
      <c r="D3" s="4" t="inlineStr">
        <is>
          <t>id</t>
        </is>
      </c>
      <c r="E3" s="4" t="inlineStr">
        <is>
          <t>dataset_id match</t>
        </is>
      </c>
      <c r="F3" s="4" t="inlineStr">
        <is>
          <t>EMPLOYEES</t>
        </is>
      </c>
      <c r="G3" s="4" t="inlineStr">
        <is>
          <t>11 unique IDs in v5</t>
        </is>
      </c>
    </row>
    <row r="4">
      <c r="A4" s="4" t="inlineStr">
        <is>
          <t>time_entries</t>
        </is>
      </c>
      <c r="B4" s="4" t="inlineStr">
        <is>
          <t>project_id</t>
        </is>
      </c>
      <c r="C4" s="4" t="inlineStr">
        <is>
          <t>projects</t>
        </is>
      </c>
      <c r="D4" s="4" t="inlineStr">
        <is>
          <t>id</t>
        </is>
      </c>
      <c r="E4" s="4" t="inlineStr">
        <is>
          <t>status='In progress'</t>
        </is>
      </c>
      <c r="F4" s="4" t="inlineStr">
        <is>
          <t>PROJECTS</t>
        </is>
      </c>
      <c r="G4" s="4" t="inlineStr">
        <is>
          <t>Only active projects</t>
        </is>
      </c>
    </row>
    <row r="5">
      <c r="A5" s="4" t="inlineStr">
        <is>
          <t>time_entries</t>
        </is>
      </c>
      <c r="B5" s="4" t="inlineStr">
        <is>
          <t>customer_id</t>
        </is>
      </c>
      <c r="C5" s="4" t="inlineStr">
        <is>
          <t>customers</t>
        </is>
      </c>
      <c r="D5" s="4" t="inlineStr">
        <is>
          <t>id</t>
        </is>
      </c>
      <c r="E5" s="4" t="inlineStr">
        <is>
          <t>dataset_id match</t>
        </is>
      </c>
      <c r="F5" s="4" t="inlineStr"/>
      <c r="G5" s="4" t="inlineStr">
        <is>
          <t>50 customers</t>
        </is>
      </c>
    </row>
    <row r="6">
      <c r="A6" s="4" t="inlineStr">
        <is>
          <t>time_entries</t>
        </is>
      </c>
      <c r="B6" s="4" t="inlineStr">
        <is>
          <t>product_service_id</t>
        </is>
      </c>
      <c r="C6" s="4" t="inlineStr">
        <is>
          <t>products</t>
        </is>
      </c>
      <c r="D6" s="4" t="inlineStr">
        <is>
          <t>id</t>
        </is>
      </c>
      <c r="E6" s="4" t="inlineStr">
        <is>
          <t>dataset_id match</t>
        </is>
      </c>
      <c r="F6" s="4" t="inlineStr">
        <is>
          <t>PRODUCTS</t>
        </is>
      </c>
      <c r="G6" s="4" t="inlineStr"/>
    </row>
    <row r="7">
      <c r="A7" s="4" t="inlineStr">
        <is>
          <t>invoices</t>
        </is>
      </c>
      <c r="B7" s="4" t="inlineStr">
        <is>
          <t>customer_id</t>
        </is>
      </c>
      <c r="C7" s="4" t="inlineStr">
        <is>
          <t>customers</t>
        </is>
      </c>
      <c r="D7" s="4" t="inlineStr">
        <is>
          <t>id</t>
        </is>
      </c>
      <c r="E7" s="4" t="inlineStr">
        <is>
          <t>dataset_id match</t>
        </is>
      </c>
      <c r="F7" s="4" t="inlineStr"/>
      <c r="G7" s="4" t="inlineStr">
        <is>
          <t>50 customers</t>
        </is>
      </c>
    </row>
    <row r="8">
      <c r="A8" s="4" t="inlineStr">
        <is>
          <t>invoice_li</t>
        </is>
      </c>
      <c r="B8" s="4" t="inlineStr">
        <is>
          <t>invoice_id</t>
        </is>
      </c>
      <c r="C8" s="4" t="inlineStr">
        <is>
          <t>invoices</t>
        </is>
      </c>
      <c r="D8" s="4" t="inlineStr">
        <is>
          <t>id</t>
        </is>
      </c>
      <c r="E8" s="4" t="inlineStr">
        <is>
          <t>same CSV</t>
        </is>
      </c>
      <c r="F8" s="4" t="inlineStr"/>
      <c r="G8" s="4" t="inlineStr">
        <is>
          <t>Parent-child</t>
        </is>
      </c>
    </row>
    <row r="9">
      <c r="A9" s="4" t="inlineStr">
        <is>
          <t>invoice_li</t>
        </is>
      </c>
      <c r="B9" s="4" t="inlineStr">
        <is>
          <t>product_service_id</t>
        </is>
      </c>
      <c r="C9" s="4" t="inlineStr">
        <is>
          <t>products</t>
        </is>
      </c>
      <c r="D9" s="4" t="inlineStr">
        <is>
          <t>id</t>
        </is>
      </c>
      <c r="E9" s="4" t="inlineStr">
        <is>
          <t>dataset_id match</t>
        </is>
      </c>
      <c r="F9" s="4" t="inlineStr">
        <is>
          <t>PRODUCTS</t>
        </is>
      </c>
      <c r="G9" s="4" t="inlineStr"/>
    </row>
    <row r="10">
      <c r="A10" s="4" t="inlineStr">
        <is>
          <t>bills</t>
        </is>
      </c>
      <c r="B10" s="4" t="inlineStr">
        <is>
          <t>vendor_id</t>
        </is>
      </c>
      <c r="C10" s="4" t="inlineStr">
        <is>
          <t>vendors</t>
        </is>
      </c>
      <c r="D10" s="4" t="inlineStr">
        <is>
          <t>id</t>
        </is>
      </c>
      <c r="E10" s="4" t="inlineStr">
        <is>
          <t>dataset_id match</t>
        </is>
      </c>
      <c r="F10" s="4" t="inlineStr"/>
      <c r="G10" s="4" t="inlineStr">
        <is>
          <t>33 vendors</t>
        </is>
      </c>
    </row>
    <row r="11">
      <c r="A11" s="4" t="inlineStr">
        <is>
          <t>bill_li</t>
        </is>
      </c>
      <c r="B11" s="4" t="inlineStr">
        <is>
          <t>bill_id</t>
        </is>
      </c>
      <c r="C11" s="4" t="inlineStr">
        <is>
          <t>bills</t>
        </is>
      </c>
      <c r="D11" s="4" t="inlineStr">
        <is>
          <t>id</t>
        </is>
      </c>
      <c r="E11" s="4" t="inlineStr">
        <is>
          <t>same CSV</t>
        </is>
      </c>
      <c r="F11" s="4" t="inlineStr"/>
      <c r="G11" s="4" t="inlineStr">
        <is>
          <t>Parent-child</t>
        </is>
      </c>
    </row>
    <row r="12">
      <c r="A12" s="4" t="inlineStr">
        <is>
          <t>bill_li</t>
        </is>
      </c>
      <c r="B12" s="4" t="inlineStr">
        <is>
          <t>product_service_id</t>
        </is>
      </c>
      <c r="C12" s="4" t="inlineStr">
        <is>
          <t>products</t>
        </is>
      </c>
      <c r="D12" s="4" t="inlineStr">
        <is>
          <t>id</t>
        </is>
      </c>
      <c r="E12" s="4" t="inlineStr">
        <is>
          <t>purchasable=true</t>
        </is>
      </c>
      <c r="F12" s="4" t="inlineStr">
        <is>
          <t>PRODUCTS</t>
        </is>
      </c>
      <c r="G12" s="4" t="inlineStr">
        <is>
          <t>Must be purchasable</t>
        </is>
      </c>
    </row>
    <row r="13">
      <c r="A13" s="4" t="inlineStr">
        <is>
          <t>expenses</t>
        </is>
      </c>
      <c r="B13" s="4" t="inlineStr">
        <is>
          <t>vendor_id</t>
        </is>
      </c>
      <c r="C13" s="4" t="inlineStr">
        <is>
          <t>vendors</t>
        </is>
      </c>
      <c r="D13" s="4" t="inlineStr">
        <is>
          <t>id</t>
        </is>
      </c>
      <c r="E13" s="4" t="inlineStr">
        <is>
          <t>dataset_id match</t>
        </is>
      </c>
      <c r="F13" s="4" t="inlineStr"/>
      <c r="G13" s="4" t="inlineStr">
        <is>
          <t>Optional FK</t>
        </is>
      </c>
    </row>
    <row r="14">
      <c r="A14" s="4" t="inlineStr">
        <is>
          <t>expenses</t>
        </is>
      </c>
      <c r="B14" s="4" t="inlineStr">
        <is>
          <t>customer_id</t>
        </is>
      </c>
      <c r="C14" s="4" t="inlineStr">
        <is>
          <t>customers</t>
        </is>
      </c>
      <c r="D14" s="4" t="inlineStr">
        <is>
          <t>id</t>
        </is>
      </c>
      <c r="E14" s="4" t="inlineStr">
        <is>
          <t>dataset_id match</t>
        </is>
      </c>
      <c r="F14" s="4" t="inlineStr"/>
      <c r="G14" s="4" t="inlineStr">
        <is>
          <t>Optional FK</t>
        </is>
      </c>
    </row>
    <row r="15">
      <c r="A15" s="4" t="inlineStr">
        <is>
          <t>expense_li</t>
        </is>
      </c>
      <c r="B15" s="4" t="inlineStr">
        <is>
          <t>expense_id</t>
        </is>
      </c>
      <c r="C15" s="4" t="inlineStr">
        <is>
          <t>expenses</t>
        </is>
      </c>
      <c r="D15" s="4" t="inlineStr">
        <is>
          <t>id</t>
        </is>
      </c>
      <c r="E15" s="4" t="inlineStr">
        <is>
          <t>same CSV</t>
        </is>
      </c>
      <c r="F15" s="4" t="inlineStr"/>
      <c r="G15" s="4" t="inlineStr">
        <is>
          <t>Parent-child</t>
        </is>
      </c>
    </row>
    <row r="16">
      <c r="A16" s="4" t="inlineStr">
        <is>
          <t>estimates</t>
        </is>
      </c>
      <c r="B16" s="4" t="inlineStr">
        <is>
          <t>customer_id</t>
        </is>
      </c>
      <c r="C16" s="4" t="inlineStr">
        <is>
          <t>customers</t>
        </is>
      </c>
      <c r="D16" s="4" t="inlineStr">
        <is>
          <t>id</t>
        </is>
      </c>
      <c r="E16" s="4" t="inlineStr">
        <is>
          <t>dataset_id match</t>
        </is>
      </c>
      <c r="F16" s="4" t="inlineStr"/>
      <c r="G16" s="4" t="inlineStr"/>
    </row>
    <row r="17">
      <c r="A17" s="4" t="inlineStr">
        <is>
          <t>estimate_li</t>
        </is>
      </c>
      <c r="B17" s="4" t="inlineStr">
        <is>
          <t>estimate_id</t>
        </is>
      </c>
      <c r="C17" s="4" t="inlineStr">
        <is>
          <t>estimates</t>
        </is>
      </c>
      <c r="D17" s="4" t="inlineStr">
        <is>
          <t>id</t>
        </is>
      </c>
      <c r="E17" s="4" t="inlineStr">
        <is>
          <t>same CSV</t>
        </is>
      </c>
      <c r="F17" s="4" t="inlineStr"/>
      <c r="G17" s="4" t="inlineStr">
        <is>
          <t>Parent-child</t>
        </is>
      </c>
    </row>
    <row r="18">
      <c r="A18" s="4" t="inlineStr">
        <is>
          <t>est_li_class</t>
        </is>
      </c>
      <c r="B18" s="4" t="inlineStr">
        <is>
          <t>line_item_id</t>
        </is>
      </c>
      <c r="C18" s="4" t="inlineStr">
        <is>
          <t>estimate_li</t>
        </is>
      </c>
      <c r="D18" s="4" t="inlineStr">
        <is>
          <t>id</t>
        </is>
      </c>
      <c r="E18" s="4" t="inlineStr">
        <is>
          <t>same CSV</t>
        </is>
      </c>
      <c r="F18" s="4" t="inlineStr"/>
      <c r="G18" s="4" t="inlineStr">
        <is>
          <t>4 per LI</t>
        </is>
      </c>
    </row>
    <row r="19">
      <c r="A19" s="4" t="inlineStr">
        <is>
          <t>purchase_orders</t>
        </is>
      </c>
      <c r="B19" s="4" t="inlineStr">
        <is>
          <t>vendor_id</t>
        </is>
      </c>
      <c r="C19" s="4" t="inlineStr">
        <is>
          <t>vendors</t>
        </is>
      </c>
      <c r="D19" s="4" t="inlineStr">
        <is>
          <t>id</t>
        </is>
      </c>
      <c r="E19" s="4" t="inlineStr">
        <is>
          <t>dataset_id match</t>
        </is>
      </c>
      <c r="F19" s="4" t="inlineStr"/>
      <c r="G19" s="4" t="inlineStr"/>
    </row>
    <row r="20">
      <c r="A20" s="4" t="inlineStr">
        <is>
          <t>po_li</t>
        </is>
      </c>
      <c r="B20" s="4" t="inlineStr">
        <is>
          <t>purchase_order_id</t>
        </is>
      </c>
      <c r="C20" s="4" t="inlineStr">
        <is>
          <t>purchase_orders</t>
        </is>
      </c>
      <c r="D20" s="4" t="inlineStr">
        <is>
          <t>id</t>
        </is>
      </c>
      <c r="E20" s="4" t="inlineStr">
        <is>
          <t>same CSV</t>
        </is>
      </c>
      <c r="F20" s="4" t="inlineStr"/>
      <c r="G20" s="4" t="inlineStr">
        <is>
          <t>Parent-child</t>
        </is>
      </c>
    </row>
    <row r="21">
      <c r="A21" s="4" t="inlineStr">
        <is>
          <t>po_li_class</t>
        </is>
      </c>
      <c r="B21" s="4" t="inlineStr">
        <is>
          <t>line_item_id</t>
        </is>
      </c>
      <c r="C21" s="4" t="inlineStr">
        <is>
          <t>po_li</t>
        </is>
      </c>
      <c r="D21" s="4" t="inlineStr">
        <is>
          <t>id</t>
        </is>
      </c>
      <c r="E21" s="4" t="inlineStr">
        <is>
          <t>same CSV</t>
        </is>
      </c>
      <c r="F21" s="4" t="inlineStr"/>
      <c r="G21" s="4" t="inlineStr">
        <is>
          <t>4 per LI</t>
        </is>
      </c>
    </row>
    <row r="22">
      <c r="A22" s="4" t="inlineStr">
        <is>
          <t>bank_txns</t>
        </is>
      </c>
      <c r="B22" s="4" t="inlineStr">
        <is>
          <t>customer_id</t>
        </is>
      </c>
      <c r="C22" s="4" t="inlineStr">
        <is>
          <t>customers</t>
        </is>
      </c>
      <c r="D22" s="4" t="inlineStr">
        <is>
          <t>id</t>
        </is>
      </c>
      <c r="E22" s="4" t="inlineStr">
        <is>
          <t>dataset_id match</t>
        </is>
      </c>
      <c r="F22" s="4" t="inlineStr"/>
      <c r="G22" s="4" t="inlineStr">
        <is>
          <t>Optional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  <col width="21" customWidth="1" min="7" max="7"/>
    <col width="38" customWidth="1" min="8" max="8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status</t>
        </is>
      </c>
      <c r="E1" s="1" t="inlineStr">
        <is>
          <t>pay_type</t>
        </is>
      </c>
      <c r="F1" s="1" t="inlineStr">
        <is>
          <t>company_type</t>
        </is>
      </c>
      <c r="G1" s="1" t="inlineStr">
        <is>
          <t>assigned_project_id</t>
        </is>
      </c>
      <c r="H1" s="1" t="inlineStr">
        <is>
          <t>dataset_id</t>
        </is>
      </c>
    </row>
    <row r="2">
      <c r="A2" s="4" t="n">
        <v>1</v>
      </c>
      <c r="B2" s="4" t="inlineStr">
        <is>
          <t>Harry</t>
        </is>
      </c>
      <c r="C2" s="4" t="inlineStr">
        <is>
          <t>Kane</t>
        </is>
      </c>
      <c r="D2" s="4" t="inlineStr">
        <is>
          <t>Paid leave of absence</t>
        </is>
      </c>
      <c r="E2" s="4" t="inlineStr">
        <is>
          <t>hourly</t>
        </is>
      </c>
      <c r="F2" s="4" t="inlineStr">
        <is>
          <t>all</t>
        </is>
      </c>
      <c r="G2" s="4" t="n"/>
      <c r="H2" s="4" t="inlineStr">
        <is>
          <t>321c6fa0-a4ee-4e05-b085-7b4d51473495</t>
        </is>
      </c>
    </row>
    <row r="3">
      <c r="A3" s="4" t="n">
        <v>2</v>
      </c>
      <c r="B3" s="4" t="inlineStr">
        <is>
          <t>John</t>
        </is>
      </c>
      <c r="C3" s="4" t="inlineStr">
        <is>
          <t>Smith</t>
        </is>
      </c>
      <c r="D3" s="4" t="inlineStr">
        <is>
          <t>Unpaid leave of absence</t>
        </is>
      </c>
      <c r="E3" s="4" t="inlineStr">
        <is>
          <t>Hourly</t>
        </is>
      </c>
      <c r="F3" s="4" t="inlineStr">
        <is>
          <t>all</t>
        </is>
      </c>
      <c r="G3" s="4" t="n"/>
      <c r="H3" s="4" t="inlineStr">
        <is>
          <t>321c6fa0-a4ee-4e05-b085-7b4d51473495</t>
        </is>
      </c>
    </row>
    <row r="4">
      <c r="A4" s="4" t="n">
        <v>3</v>
      </c>
      <c r="B4" s="4" t="inlineStr">
        <is>
          <t>Emma</t>
        </is>
      </c>
      <c r="C4" s="4" t="inlineStr">
        <is>
          <t>Johnson</t>
        </is>
      </c>
      <c r="D4" s="4" t="inlineStr">
        <is>
          <t>Active</t>
        </is>
      </c>
      <c r="E4" s="4" t="inlineStr">
        <is>
          <t>Salary</t>
        </is>
      </c>
      <c r="F4" s="4" t="inlineStr">
        <is>
          <t>all</t>
        </is>
      </c>
      <c r="G4" s="4" t="n"/>
      <c r="H4" s="4" t="inlineStr">
        <is>
          <t>321c6fa0-a4ee-4e05-b085-7b4d51473495</t>
        </is>
      </c>
    </row>
    <row r="5">
      <c r="A5" s="4" t="n">
        <v>4</v>
      </c>
      <c r="B5" s="4" t="inlineStr">
        <is>
          <t>Michael</t>
        </is>
      </c>
      <c r="C5" s="4" t="inlineStr">
        <is>
          <t>Williams</t>
        </is>
      </c>
      <c r="D5" s="4" t="inlineStr">
        <is>
          <t>Not on payroll</t>
        </is>
      </c>
      <c r="E5" s="4" t="inlineStr">
        <is>
          <t>Salary</t>
        </is>
      </c>
      <c r="F5" s="4" t="inlineStr">
        <is>
          <t>all</t>
        </is>
      </c>
      <c r="G5" s="4" t="n"/>
      <c r="H5" s="4" t="inlineStr">
        <is>
          <t>321c6fa0-a4ee-4e05-b085-7b4d51473495</t>
        </is>
      </c>
    </row>
    <row r="6">
      <c r="A6" s="4" t="n">
        <v>5</v>
      </c>
      <c r="B6" s="4" t="inlineStr">
        <is>
          <t>Sophia</t>
        </is>
      </c>
      <c r="C6" s="4" t="inlineStr">
        <is>
          <t>Brown</t>
        </is>
      </c>
      <c r="D6" s="4" t="inlineStr">
        <is>
          <t>Active</t>
        </is>
      </c>
      <c r="E6" s="4" t="inlineStr">
        <is>
          <t>Hourly</t>
        </is>
      </c>
      <c r="F6" s="4" t="inlineStr">
        <is>
          <t>all</t>
        </is>
      </c>
      <c r="G6" s="4" t="n">
        <v>21</v>
      </c>
      <c r="H6" s="4" t="inlineStr">
        <is>
          <t>321c6fa0-a4ee-4e05-b085-7b4d51473495</t>
        </is>
      </c>
    </row>
    <row r="7">
      <c r="A7" s="4" t="n">
        <v>7</v>
      </c>
      <c r="B7" s="4" t="inlineStr">
        <is>
          <t>Olivia</t>
        </is>
      </c>
      <c r="C7" s="4" t="inlineStr">
        <is>
          <t>Davis</t>
        </is>
      </c>
      <c r="D7" s="4" t="inlineStr">
        <is>
          <t>Active</t>
        </is>
      </c>
      <c r="E7" s="4" t="inlineStr">
        <is>
          <t>Salary</t>
        </is>
      </c>
      <c r="F7" s="4" t="inlineStr">
        <is>
          <t>all</t>
        </is>
      </c>
      <c r="G7" s="4" t="n"/>
      <c r="H7" s="4" t="inlineStr">
        <is>
          <t>321c6fa0-a4ee-4e05-b085-7b4d51473495</t>
        </is>
      </c>
    </row>
    <row r="8">
      <c r="A8" s="4" t="n">
        <v>8</v>
      </c>
      <c r="B8" s="4" t="inlineStr">
        <is>
          <t>Aiden</t>
        </is>
      </c>
      <c r="C8" s="4" t="inlineStr">
        <is>
          <t>Harris</t>
        </is>
      </c>
      <c r="D8" s="4" t="inlineStr">
        <is>
          <t>Active</t>
        </is>
      </c>
      <c r="E8" s="4" t="inlineStr">
        <is>
          <t>Salary</t>
        </is>
      </c>
      <c r="F8" s="4" t="inlineStr">
        <is>
          <t>all</t>
        </is>
      </c>
      <c r="G8" s="4" t="n"/>
      <c r="H8" s="4" t="inlineStr">
        <is>
          <t>321c6fa0-a4ee-4e05-b085-7b4d51473495</t>
        </is>
      </c>
    </row>
    <row r="9">
      <c r="A9" s="4" t="n">
        <v>9</v>
      </c>
      <c r="B9" s="4" t="inlineStr">
        <is>
          <t>Grace</t>
        </is>
      </c>
      <c r="C9" s="4" t="inlineStr">
        <is>
          <t>Taylor</t>
        </is>
      </c>
      <c r="D9" s="4" t="inlineStr">
        <is>
          <t>Active</t>
        </is>
      </c>
      <c r="E9" s="4" t="inlineStr">
        <is>
          <t>Hourly</t>
        </is>
      </c>
      <c r="F9" s="4" t="inlineStr">
        <is>
          <t>all</t>
        </is>
      </c>
      <c r="G9" s="4" t="n">
        <v>23</v>
      </c>
      <c r="H9" s="4" t="inlineStr">
        <is>
          <t>321c6fa0-a4ee-4e05-b085-7b4d51473495</t>
        </is>
      </c>
    </row>
    <row r="10">
      <c r="A10" s="4" t="n">
        <v>10</v>
      </c>
      <c r="B10" s="4" t="inlineStr">
        <is>
          <t>Brady</t>
        </is>
      </c>
      <c r="C10" s="4" t="inlineStr">
        <is>
          <t>Suggs</t>
        </is>
      </c>
      <c r="D10" s="4" t="inlineStr">
        <is>
          <t>Active</t>
        </is>
      </c>
      <c r="E10" s="4" t="inlineStr">
        <is>
          <t>Salary</t>
        </is>
      </c>
      <c r="F10" s="4" t="inlineStr">
        <is>
          <t>all</t>
        </is>
      </c>
      <c r="G10" s="4" t="n"/>
      <c r="H10" s="4" t="inlineStr">
        <is>
          <t>321c6fa0-a4ee-4e05-b085-7b4d51473495</t>
        </is>
      </c>
    </row>
    <row r="11">
      <c r="A11" s="4" t="n">
        <v>11</v>
      </c>
      <c r="B11" s="4" t="inlineStr">
        <is>
          <t>Ben</t>
        </is>
      </c>
      <c r="C11" s="4" t="inlineStr">
        <is>
          <t>Mitchell</t>
        </is>
      </c>
      <c r="D11" s="4" t="inlineStr">
        <is>
          <t>Active</t>
        </is>
      </c>
      <c r="E11" s="4" t="inlineStr">
        <is>
          <t>Hourly</t>
        </is>
      </c>
      <c r="F11" s="4" t="inlineStr">
        <is>
          <t>all</t>
        </is>
      </c>
      <c r="G11" s="4" t="n">
        <v>24</v>
      </c>
      <c r="H11" s="4" t="inlineStr">
        <is>
          <t>321c6fa0-a4ee-4e05-b085-7b4d51473495</t>
        </is>
      </c>
    </row>
    <row r="12">
      <c r="A12" s="4" t="n">
        <v>12</v>
      </c>
      <c r="B12" s="4" t="inlineStr">
        <is>
          <t>Dan</t>
        </is>
      </c>
      <c r="C12" s="4" t="inlineStr">
        <is>
          <t>Cheng</t>
        </is>
      </c>
      <c r="D12" s="4" t="inlineStr">
        <is>
          <t>Active</t>
        </is>
      </c>
      <c r="E12" s="4" t="inlineStr">
        <is>
          <t>Salary</t>
        </is>
      </c>
      <c r="F12" s="4" t="inlineStr">
        <is>
          <t>all</t>
        </is>
      </c>
      <c r="G12" s="4" t="n"/>
      <c r="H12" s="4" t="inlineStr">
        <is>
          <t>321c6fa0-a4ee-4e05-b085-7b4d51473495</t>
        </is>
      </c>
    </row>
    <row r="13">
      <c r="A13" s="4" t="n">
        <v>13</v>
      </c>
      <c r="B13" s="4" t="inlineStr">
        <is>
          <t>Ava</t>
        </is>
      </c>
      <c r="C13" s="4" t="inlineStr">
        <is>
          <t>Hall</t>
        </is>
      </c>
      <c r="D13" s="4" t="inlineStr">
        <is>
          <t>Paid leave of absence</t>
        </is>
      </c>
      <c r="E13" s="4" t="inlineStr">
        <is>
          <t>Hourly</t>
        </is>
      </c>
      <c r="F13" s="4" t="inlineStr">
        <is>
          <t>all</t>
        </is>
      </c>
      <c r="G13" s="4" t="n"/>
      <c r="H13" s="4" t="inlineStr">
        <is>
          <t>321c6fa0-a4ee-4e05-b085-7b4d51473495</t>
        </is>
      </c>
    </row>
    <row r="14">
      <c r="A14" s="4" t="n">
        <v>14</v>
      </c>
      <c r="B14" s="4" t="inlineStr">
        <is>
          <t>Anika</t>
        </is>
      </c>
      <c r="C14" s="4" t="inlineStr">
        <is>
          <t>Ali</t>
        </is>
      </c>
      <c r="D14" s="4" t="inlineStr">
        <is>
          <t>Active</t>
        </is>
      </c>
      <c r="E14" s="4" t="inlineStr">
        <is>
          <t>Salary</t>
        </is>
      </c>
      <c r="F14" s="4" t="inlineStr">
        <is>
          <t>all</t>
        </is>
      </c>
      <c r="G14" s="4" t="n"/>
      <c r="H14" s="4" t="inlineStr">
        <is>
          <t>321c6fa0-a4ee-4e05-b085-7b4d51473495</t>
        </is>
      </c>
    </row>
    <row r="15">
      <c r="A15" s="4" t="n">
        <v>15</v>
      </c>
      <c r="B15" s="4" t="inlineStr">
        <is>
          <t>Gleb</t>
        </is>
      </c>
      <c r="C15" s="4" t="inlineStr">
        <is>
          <t>Keselman</t>
        </is>
      </c>
      <c r="D15" s="4" t="inlineStr">
        <is>
          <t>Active</t>
        </is>
      </c>
      <c r="E15" s="4" t="inlineStr">
        <is>
          <t>Hourly</t>
        </is>
      </c>
      <c r="F15" s="4" t="inlineStr">
        <is>
          <t>all</t>
        </is>
      </c>
      <c r="G15" s="4" t="n">
        <v>20</v>
      </c>
      <c r="H15" s="4" t="inlineStr">
        <is>
          <t>321c6fa0-a4ee-4e05-b085-7b4d51473495</t>
        </is>
      </c>
    </row>
    <row r="16">
      <c r="A16" s="4" t="n">
        <v>16</v>
      </c>
      <c r="B16" s="4" t="inlineStr">
        <is>
          <t>Oliver</t>
        </is>
      </c>
      <c r="C16" s="4" t="inlineStr">
        <is>
          <t>Perez</t>
        </is>
      </c>
      <c r="D16" s="4" t="inlineStr">
        <is>
          <t>Terminated</t>
        </is>
      </c>
      <c r="E16" s="4" t="inlineStr">
        <is>
          <t>Hourly</t>
        </is>
      </c>
      <c r="F16" s="4" t="inlineStr">
        <is>
          <t>all</t>
        </is>
      </c>
      <c r="G16" s="4" t="n"/>
      <c r="H16" s="4" t="inlineStr">
        <is>
          <t>321c6fa0-a4ee-4e05-b085-7b4d51473495</t>
        </is>
      </c>
    </row>
    <row r="17">
      <c r="A17" s="4" t="n">
        <v>17</v>
      </c>
      <c r="B17" s="4" t="inlineStr">
        <is>
          <t>Charlotte</t>
        </is>
      </c>
      <c r="C17" s="4" t="inlineStr">
        <is>
          <t>Rivera</t>
        </is>
      </c>
      <c r="D17" s="4" t="inlineStr">
        <is>
          <t>Terminated</t>
        </is>
      </c>
      <c r="E17" s="4" t="inlineStr">
        <is>
          <t>Hourly</t>
        </is>
      </c>
      <c r="F17" s="4" t="inlineStr">
        <is>
          <t>all</t>
        </is>
      </c>
      <c r="G17" s="4" t="n"/>
      <c r="H17" s="4" t="inlineStr">
        <is>
          <t>321c6fa0-a4ee-4e05-b085-7b4d51473495</t>
        </is>
      </c>
    </row>
    <row r="18">
      <c r="A18" s="4" t="n">
        <v>18</v>
      </c>
      <c r="B18" s="4" t="inlineStr">
        <is>
          <t>Doris</t>
        </is>
      </c>
      <c r="C18" s="4" t="inlineStr">
        <is>
          <t>Ng</t>
        </is>
      </c>
      <c r="D18" s="4" t="inlineStr">
        <is>
          <t>Active</t>
        </is>
      </c>
      <c r="E18" s="4" t="inlineStr">
        <is>
          <t>Salary</t>
        </is>
      </c>
      <c r="F18" s="4" t="inlineStr">
        <is>
          <t>all</t>
        </is>
      </c>
      <c r="G18" s="4" t="n"/>
      <c r="H18" s="4" t="inlineStr">
        <is>
          <t>321c6fa0-a4ee-4e05-b085-7b4d51473495</t>
        </is>
      </c>
    </row>
    <row r="19">
      <c r="A19" s="4" t="n">
        <v>19</v>
      </c>
      <c r="B19" s="4" t="inlineStr">
        <is>
          <t>Nita</t>
        </is>
      </c>
      <c r="C19" s="4" t="inlineStr">
        <is>
          <t>Acosta</t>
        </is>
      </c>
      <c r="D19" s="4" t="inlineStr">
        <is>
          <t>Active</t>
        </is>
      </c>
      <c r="E19" s="4" t="inlineStr">
        <is>
          <t>Hourly</t>
        </is>
      </c>
      <c r="F19" s="4" t="inlineStr">
        <is>
          <t>all</t>
        </is>
      </c>
      <c r="G19" s="4" t="n">
        <v>23</v>
      </c>
      <c r="H19" s="4" t="inlineStr">
        <is>
          <t>321c6fa0-a4ee-4e05-b085-7b4d51473495</t>
        </is>
      </c>
    </row>
    <row r="20">
      <c r="A20" s="4" t="n">
        <v>20</v>
      </c>
      <c r="B20" s="4" t="inlineStr">
        <is>
          <t>Jon</t>
        </is>
      </c>
      <c r="C20" s="4" t="inlineStr">
        <is>
          <t>Hoof</t>
        </is>
      </c>
      <c r="D20" s="4" t="inlineStr">
        <is>
          <t>Active</t>
        </is>
      </c>
      <c r="E20" s="4" t="inlineStr">
        <is>
          <t>Salary</t>
        </is>
      </c>
      <c r="F20" s="4" t="inlineStr">
        <is>
          <t>all</t>
        </is>
      </c>
      <c r="G20" s="4" t="n"/>
      <c r="H20" s="4" t="inlineStr">
        <is>
          <t>321c6fa0-a4ee-4e05-b085-7b4d51473495</t>
        </is>
      </c>
    </row>
    <row r="21">
      <c r="A21" s="4" t="n">
        <v>21</v>
      </c>
      <c r="B21" s="4" t="inlineStr">
        <is>
          <t>Vicki</t>
        </is>
      </c>
      <c r="C21" s="4" t="inlineStr">
        <is>
          <t>Birch</t>
        </is>
      </c>
      <c r="D21" s="4" t="inlineStr">
        <is>
          <t>Active</t>
        </is>
      </c>
      <c r="E21" s="4" t="inlineStr">
        <is>
          <t>Hourly</t>
        </is>
      </c>
      <c r="F21" s="4" t="inlineStr">
        <is>
          <t>all</t>
        </is>
      </c>
      <c r="G21" s="4" t="n">
        <v>20</v>
      </c>
      <c r="H21" s="4" t="inlineStr">
        <is>
          <t>321c6fa0-a4ee-4e05-b085-7b4d51473495</t>
        </is>
      </c>
    </row>
    <row r="22">
      <c r="A22" s="4" t="n">
        <v>22</v>
      </c>
      <c r="B22" s="4" t="inlineStr">
        <is>
          <t>Thom</t>
        </is>
      </c>
      <c r="C22" s="4" t="inlineStr">
        <is>
          <t>Suh</t>
        </is>
      </c>
      <c r="D22" s="4" t="inlineStr">
        <is>
          <t>Active</t>
        </is>
      </c>
      <c r="E22" s="4" t="inlineStr">
        <is>
          <t>Salary</t>
        </is>
      </c>
      <c r="F22" s="4" t="inlineStr">
        <is>
          <t>all</t>
        </is>
      </c>
      <c r="G22" s="4" t="n"/>
      <c r="H22" s="4" t="inlineStr">
        <is>
          <t>321c6fa0-a4ee-4e05-b085-7b4d51473495</t>
        </is>
      </c>
    </row>
    <row r="23">
      <c r="A23" s="4" t="n">
        <v>23</v>
      </c>
      <c r="B23" s="4" t="inlineStr">
        <is>
          <t>Evelyn</t>
        </is>
      </c>
      <c r="C23" s="4" t="inlineStr">
        <is>
          <t>Wright</t>
        </is>
      </c>
      <c r="D23" s="4" t="inlineStr">
        <is>
          <t>Terminated</t>
        </is>
      </c>
      <c r="E23" s="4" t="inlineStr">
        <is>
          <t>Hourly</t>
        </is>
      </c>
      <c r="F23" s="4" t="inlineStr">
        <is>
          <t>all</t>
        </is>
      </c>
      <c r="G23" s="4" t="n"/>
      <c r="H23" s="4" t="inlineStr">
        <is>
          <t>321c6fa0-a4ee-4e05-b085-7b4d51473495</t>
        </is>
      </c>
    </row>
    <row r="24">
      <c r="A24" s="4" t="n">
        <v>24</v>
      </c>
      <c r="B24" s="4" t="inlineStr">
        <is>
          <t>Audrey</t>
        </is>
      </c>
      <c r="C24" s="4" t="inlineStr">
        <is>
          <t>Willis</t>
        </is>
      </c>
      <c r="D24" s="4" t="inlineStr">
        <is>
          <t>Active</t>
        </is>
      </c>
      <c r="E24" s="4" t="inlineStr">
        <is>
          <t>Salary</t>
        </is>
      </c>
      <c r="F24" s="4" t="inlineStr">
        <is>
          <t>all</t>
        </is>
      </c>
      <c r="G24" s="4" t="n"/>
      <c r="H24" s="4" t="inlineStr">
        <is>
          <t>321c6fa0-a4ee-4e05-b085-7b4d51473495</t>
        </is>
      </c>
    </row>
    <row r="25">
      <c r="A25" s="4" t="n">
        <v>25</v>
      </c>
      <c r="B25" s="4" t="inlineStr">
        <is>
          <t>Sofia</t>
        </is>
      </c>
      <c r="C25" s="4" t="inlineStr">
        <is>
          <t>Murphy</t>
        </is>
      </c>
      <c r="D25" s="4" t="inlineStr">
        <is>
          <t>Paid leave of absence</t>
        </is>
      </c>
      <c r="E25" s="4" t="inlineStr">
        <is>
          <t>Hourly</t>
        </is>
      </c>
      <c r="F25" s="4" t="inlineStr">
        <is>
          <t>all</t>
        </is>
      </c>
      <c r="G25" s="4" t="n"/>
      <c r="H25" s="4" t="inlineStr">
        <is>
          <t>321c6fa0-a4ee-4e05-b085-7b4d51473495</t>
        </is>
      </c>
    </row>
    <row r="26">
      <c r="A26" s="4" t="n">
        <v>26</v>
      </c>
      <c r="B26" s="4" t="inlineStr">
        <is>
          <t>Andy</t>
        </is>
      </c>
      <c r="C26" s="4" t="inlineStr">
        <is>
          <t>Benedict</t>
        </is>
      </c>
      <c r="D26" s="4" t="inlineStr">
        <is>
          <t>Active</t>
        </is>
      </c>
      <c r="E26" s="4" t="inlineStr">
        <is>
          <t>Salary</t>
        </is>
      </c>
      <c r="F26" s="4" t="inlineStr">
        <is>
          <t>all</t>
        </is>
      </c>
      <c r="G26" s="4" t="n"/>
      <c r="H26" s="4" t="inlineStr">
        <is>
          <t>321c6fa0-a4ee-4e05-b085-7b4d51473495</t>
        </is>
      </c>
    </row>
    <row r="27">
      <c r="A27" s="4" t="n">
        <v>27</v>
      </c>
      <c r="B27" s="4" t="inlineStr">
        <is>
          <t>Bryn</t>
        </is>
      </c>
      <c r="C27" s="4" t="inlineStr">
        <is>
          <t>Tierney</t>
        </is>
      </c>
      <c r="D27" s="4" t="inlineStr">
        <is>
          <t>Active</t>
        </is>
      </c>
      <c r="E27" s="4" t="inlineStr">
        <is>
          <t>Hourly</t>
        </is>
      </c>
      <c r="F27" s="4" t="inlineStr">
        <is>
          <t>all</t>
        </is>
      </c>
      <c r="G27" s="4" t="n">
        <v>21</v>
      </c>
      <c r="H27" s="4" t="inlineStr">
        <is>
          <t>321c6fa0-a4ee-4e05-b085-7b4d51473495</t>
        </is>
      </c>
    </row>
    <row r="28">
      <c r="A28" s="4" t="n">
        <v>28</v>
      </c>
      <c r="B28" s="4" t="inlineStr">
        <is>
          <t>Mark</t>
        </is>
      </c>
      <c r="C28" s="4" t="inlineStr">
        <is>
          <t>Herrero</t>
        </is>
      </c>
      <c r="D28" s="4" t="inlineStr">
        <is>
          <t>Active</t>
        </is>
      </c>
      <c r="E28" s="4" t="inlineStr">
        <is>
          <t>Salary</t>
        </is>
      </c>
      <c r="F28" s="4" t="inlineStr">
        <is>
          <t>all</t>
        </is>
      </c>
      <c r="G28" s="4" t="n"/>
      <c r="H28" s="4" t="inlineStr">
        <is>
          <t>321c6fa0-a4ee-4e05-b085-7b4d51473495</t>
        </is>
      </c>
    </row>
    <row r="29">
      <c r="A29" s="4" t="n">
        <v>29</v>
      </c>
      <c r="B29" s="4" t="inlineStr">
        <is>
          <t>Stella</t>
        </is>
      </c>
      <c r="C29" s="4" t="inlineStr">
        <is>
          <t>Medina</t>
        </is>
      </c>
      <c r="D29" s="4" t="inlineStr">
        <is>
          <t>Active</t>
        </is>
      </c>
      <c r="E29" s="4" t="inlineStr">
        <is>
          <t>Hourly</t>
        </is>
      </c>
      <c r="F29" s="4" t="inlineStr">
        <is>
          <t>all</t>
        </is>
      </c>
      <c r="G29" s="4" t="n">
        <v>19</v>
      </c>
      <c r="H29" s="4" t="inlineStr">
        <is>
          <t>321c6fa0-a4ee-4e05-b085-7b4d51473495</t>
        </is>
      </c>
    </row>
    <row r="30">
      <c r="A30" s="4" t="n">
        <v>30</v>
      </c>
      <c r="B30" s="4" t="inlineStr">
        <is>
          <t>Varun</t>
        </is>
      </c>
      <c r="C30" s="4" t="inlineStr">
        <is>
          <t>Babar</t>
        </is>
      </c>
      <c r="D30" s="4" t="inlineStr">
        <is>
          <t>Active</t>
        </is>
      </c>
      <c r="E30" s="4" t="inlineStr">
        <is>
          <t>Salary</t>
        </is>
      </c>
      <c r="F30" s="4" t="inlineStr">
        <is>
          <t>all</t>
        </is>
      </c>
      <c r="G30" s="4" t="n"/>
      <c r="H30" s="4" t="inlineStr">
        <is>
          <t>321c6fa0-a4ee-4e05-b085-7b4d51473495</t>
        </is>
      </c>
    </row>
    <row r="31">
      <c r="A31" s="4" t="n">
        <v>31</v>
      </c>
      <c r="B31" s="4" t="inlineStr">
        <is>
          <t>Logan</t>
        </is>
      </c>
      <c r="C31" s="4" t="inlineStr">
        <is>
          <t>Parker</t>
        </is>
      </c>
      <c r="D31" s="4" t="inlineStr">
        <is>
          <t>Terminated</t>
        </is>
      </c>
      <c r="E31" s="4" t="inlineStr">
        <is>
          <t>Hourly</t>
        </is>
      </c>
      <c r="F31" s="4" t="inlineStr">
        <is>
          <t>all</t>
        </is>
      </c>
      <c r="G31" s="4" t="n"/>
      <c r="H31" s="4" t="inlineStr">
        <is>
          <t>321c6fa0-a4ee-4e05-b085-7b4d51473495</t>
        </is>
      </c>
    </row>
    <row r="32">
      <c r="A32" s="4" t="n">
        <v>32</v>
      </c>
      <c r="B32" s="4" t="inlineStr">
        <is>
          <t>Jamie</t>
        </is>
      </c>
      <c r="C32" s="4" t="inlineStr">
        <is>
          <t>Corkish</t>
        </is>
      </c>
      <c r="D32" s="4" t="inlineStr">
        <is>
          <t>Active</t>
        </is>
      </c>
      <c r="E32" s="4" t="inlineStr">
        <is>
          <t>Hourly</t>
        </is>
      </c>
      <c r="F32" s="4" t="inlineStr">
        <is>
          <t>all</t>
        </is>
      </c>
      <c r="G32" s="4" t="n">
        <v>21</v>
      </c>
      <c r="H32" s="4" t="inlineStr">
        <is>
          <t>321c6fa0-a4ee-4e05-b085-7b4d51473495</t>
        </is>
      </c>
    </row>
    <row r="33">
      <c r="A33" s="4" t="n">
        <v>33</v>
      </c>
      <c r="B33" s="4" t="inlineStr">
        <is>
          <t>James</t>
        </is>
      </c>
      <c r="C33" s="4" t="inlineStr">
        <is>
          <t>Sanborn</t>
        </is>
      </c>
      <c r="D33" s="4" t="inlineStr">
        <is>
          <t>Active</t>
        </is>
      </c>
      <c r="E33" s="4" t="inlineStr">
        <is>
          <t>Hourly</t>
        </is>
      </c>
      <c r="F33" s="4" t="inlineStr">
        <is>
          <t>all</t>
        </is>
      </c>
      <c r="G33" s="4" t="n">
        <v>21</v>
      </c>
      <c r="H33" s="4" t="inlineStr">
        <is>
          <t>321c6fa0-a4ee-4e05-b085-7b4d51473495</t>
        </is>
      </c>
    </row>
    <row r="34">
      <c r="A34" s="4" t="n">
        <v>34</v>
      </c>
      <c r="B34" s="4" t="inlineStr">
        <is>
          <t>Donald</t>
        </is>
      </c>
      <c r="C34" s="4" t="inlineStr">
        <is>
          <t>Nowland</t>
        </is>
      </c>
      <c r="D34" s="4" t="inlineStr">
        <is>
          <t>Active</t>
        </is>
      </c>
      <c r="E34" s="4" t="inlineStr">
        <is>
          <t>Hourly</t>
        </is>
      </c>
      <c r="F34" s="4" t="inlineStr">
        <is>
          <t>all</t>
        </is>
      </c>
      <c r="G34" s="4" t="n">
        <v>22</v>
      </c>
      <c r="H34" s="4" t="inlineStr">
        <is>
          <t>321c6fa0-a4ee-4e05-b085-7b4d51473495</t>
        </is>
      </c>
    </row>
    <row r="35">
      <c r="A35" s="4" t="n">
        <v>35</v>
      </c>
      <c r="B35" s="4" t="inlineStr">
        <is>
          <t>Desiree</t>
        </is>
      </c>
      <c r="C35" s="4" t="inlineStr">
        <is>
          <t>Evers</t>
        </is>
      </c>
      <c r="D35" s="4" t="inlineStr">
        <is>
          <t>Active</t>
        </is>
      </c>
      <c r="E35" s="4" t="inlineStr">
        <is>
          <t>Hourly</t>
        </is>
      </c>
      <c r="F35" s="4" t="inlineStr">
        <is>
          <t>all</t>
        </is>
      </c>
      <c r="G35" s="4" t="n">
        <v>24</v>
      </c>
      <c r="H35" s="4" t="inlineStr">
        <is>
          <t>321c6fa0-a4ee-4e05-b085-7b4d51473495</t>
        </is>
      </c>
    </row>
    <row r="36">
      <c r="A36" s="4" t="n">
        <v>36</v>
      </c>
      <c r="B36" s="4" t="inlineStr">
        <is>
          <t>George</t>
        </is>
      </c>
      <c r="C36" s="4" t="inlineStr">
        <is>
          <t>Kousouros</t>
        </is>
      </c>
      <c r="D36" s="4" t="inlineStr">
        <is>
          <t>Active</t>
        </is>
      </c>
      <c r="E36" s="4" t="inlineStr">
        <is>
          <t>Salary</t>
        </is>
      </c>
      <c r="F36" s="4" t="inlineStr">
        <is>
          <t>all</t>
        </is>
      </c>
      <c r="G36" s="4" t="n"/>
      <c r="H36" s="4" t="inlineStr">
        <is>
          <t>321c6fa0-a4ee-4e05-b085-7b4d51473495</t>
        </is>
      </c>
    </row>
    <row r="37">
      <c r="A37" s="4" t="n">
        <v>37</v>
      </c>
      <c r="B37" s="4" t="inlineStr">
        <is>
          <t>Tyler</t>
        </is>
      </c>
      <c r="C37" s="4" t="inlineStr">
        <is>
          <t>Frazer</t>
        </is>
      </c>
      <c r="D37" s="4" t="inlineStr">
        <is>
          <t>Active</t>
        </is>
      </c>
      <c r="E37" s="4" t="inlineStr">
        <is>
          <t>Salary</t>
        </is>
      </c>
      <c r="F37" s="4" t="inlineStr">
        <is>
          <t>all</t>
        </is>
      </c>
      <c r="G37" s="4" t="n"/>
      <c r="H37" s="4" t="inlineStr">
        <is>
          <t>321c6fa0-a4ee-4e05-b085-7b4d51473495</t>
        </is>
      </c>
    </row>
    <row r="38">
      <c r="A38" s="4" t="n">
        <v>39</v>
      </c>
      <c r="B38" s="4" t="inlineStr">
        <is>
          <t>Samantha</t>
        </is>
      </c>
      <c r="C38" s="4" t="inlineStr">
        <is>
          <t>Yang</t>
        </is>
      </c>
      <c r="D38" s="4" t="inlineStr">
        <is>
          <t>Active</t>
        </is>
      </c>
      <c r="E38" s="4" t="inlineStr">
        <is>
          <t>Hourly</t>
        </is>
      </c>
      <c r="F38" s="4" t="inlineStr">
        <is>
          <t>all</t>
        </is>
      </c>
      <c r="G38" s="4" t="n">
        <v>22</v>
      </c>
      <c r="H38" s="4" t="inlineStr">
        <is>
          <t>321c6fa0-a4ee-4e05-b085-7b4d51473495</t>
        </is>
      </c>
    </row>
    <row r="39">
      <c r="A39" s="4" t="n">
        <v>40</v>
      </c>
      <c r="B39" s="4" t="inlineStr">
        <is>
          <t>Daniel</t>
        </is>
      </c>
      <c r="C39" s="4" t="inlineStr">
        <is>
          <t>Moreno</t>
        </is>
      </c>
      <c r="D39" s="4" t="inlineStr">
        <is>
          <t>Unpaid leave of absence</t>
        </is>
      </c>
      <c r="E39" s="4" t="inlineStr">
        <is>
          <t>Salary</t>
        </is>
      </c>
      <c r="F39" s="4" t="inlineStr">
        <is>
          <t>all</t>
        </is>
      </c>
      <c r="G39" s="4" t="n"/>
      <c r="H39" s="4" t="inlineStr">
        <is>
          <t>321c6fa0-a4ee-4e05-b085-7b4d51473495</t>
        </is>
      </c>
    </row>
    <row r="40">
      <c r="A40" s="4" t="n">
        <v>41</v>
      </c>
      <c r="B40" s="4" t="inlineStr">
        <is>
          <t>Elizabeth</t>
        </is>
      </c>
      <c r="C40" s="4" t="inlineStr">
        <is>
          <t>Kim</t>
        </is>
      </c>
      <c r="D40" s="4" t="inlineStr">
        <is>
          <t>Terminated</t>
        </is>
      </c>
      <c r="E40" s="4" t="inlineStr">
        <is>
          <t>Hourly</t>
        </is>
      </c>
      <c r="F40" s="4" t="inlineStr">
        <is>
          <t>all</t>
        </is>
      </c>
      <c r="G40" s="4" t="n"/>
      <c r="H40" s="4" t="inlineStr">
        <is>
          <t>321c6fa0-a4ee-4e05-b085-7b4d51473495</t>
        </is>
      </c>
    </row>
    <row r="41">
      <c r="A41" s="4" t="n">
        <v>43</v>
      </c>
      <c r="B41" s="4" t="inlineStr">
        <is>
          <t>Chloe</t>
        </is>
      </c>
      <c r="C41" s="4" t="inlineStr">
        <is>
          <t>Nguyen</t>
        </is>
      </c>
      <c r="D41" s="4" t="inlineStr">
        <is>
          <t>Active</t>
        </is>
      </c>
      <c r="E41" s="4" t="inlineStr">
        <is>
          <t>Hourly</t>
        </is>
      </c>
      <c r="F41" s="4" t="inlineStr">
        <is>
          <t>all</t>
        </is>
      </c>
      <c r="G41" s="4" t="n">
        <v>24</v>
      </c>
      <c r="H41" s="4" t="inlineStr">
        <is>
          <t>321c6fa0-a4ee-4e05-b085-7b4d51473495</t>
        </is>
      </c>
    </row>
    <row r="42">
      <c r="A42" s="4" t="n">
        <v>44</v>
      </c>
      <c r="B42" s="4" t="inlineStr">
        <is>
          <t>John</t>
        </is>
      </c>
      <c r="C42" s="4" t="inlineStr">
        <is>
          <t>Martin</t>
        </is>
      </c>
      <c r="D42" s="4" t="inlineStr">
        <is>
          <t>Active</t>
        </is>
      </c>
      <c r="E42" s="4" t="inlineStr">
        <is>
          <t>Salary</t>
        </is>
      </c>
      <c r="F42" s="4" t="inlineStr">
        <is>
          <t>all</t>
        </is>
      </c>
      <c r="G42" s="4" t="n"/>
      <c r="H42" s="4" t="inlineStr">
        <is>
          <t>321c6fa0-a4ee-4e05-b085-7b4d51473495</t>
        </is>
      </c>
    </row>
    <row r="43">
      <c r="A43" s="4" t="n">
        <v>45</v>
      </c>
      <c r="B43" s="4" t="inlineStr">
        <is>
          <t>Zoe</t>
        </is>
      </c>
      <c r="C43" s="4" t="inlineStr">
        <is>
          <t>Lewis</t>
        </is>
      </c>
      <c r="D43" s="4" t="inlineStr">
        <is>
          <t>Active</t>
        </is>
      </c>
      <c r="E43" s="4" t="inlineStr">
        <is>
          <t>Hourly</t>
        </is>
      </c>
      <c r="F43" s="4" t="inlineStr">
        <is>
          <t>all</t>
        </is>
      </c>
      <c r="G43" s="4" t="n">
        <v>19</v>
      </c>
      <c r="H43" s="4" t="inlineStr">
        <is>
          <t>321c6fa0-a4ee-4e05-b085-7b4d51473495</t>
        </is>
      </c>
    </row>
    <row r="44">
      <c r="A44" s="4" t="n">
        <v>47</v>
      </c>
      <c r="B44" s="4" t="inlineStr">
        <is>
          <t>Mia</t>
        </is>
      </c>
      <c r="C44" s="4" t="inlineStr">
        <is>
          <t>Yang</t>
        </is>
      </c>
      <c r="D44" s="4" t="inlineStr">
        <is>
          <t>Not on payroll</t>
        </is>
      </c>
      <c r="E44" s="4" t="inlineStr">
        <is>
          <t>Hourly</t>
        </is>
      </c>
      <c r="F44" s="4" t="inlineStr">
        <is>
          <t>all</t>
        </is>
      </c>
      <c r="G44" s="4" t="n"/>
      <c r="H44" s="4" t="inlineStr">
        <is>
          <t>321c6fa0-a4ee-4e05-b085-7b4d51473495</t>
        </is>
      </c>
    </row>
    <row r="45">
      <c r="A45" s="4" t="n">
        <v>49</v>
      </c>
      <c r="B45" s="4" t="inlineStr">
        <is>
          <t>James</t>
        </is>
      </c>
      <c r="C45" s="4" t="inlineStr">
        <is>
          <t>Jacobes</t>
        </is>
      </c>
      <c r="D45" s="4" t="inlineStr">
        <is>
          <t>Active</t>
        </is>
      </c>
      <c r="E45" s="4" t="inlineStr">
        <is>
          <t>Salary</t>
        </is>
      </c>
      <c r="F45" s="4" t="inlineStr">
        <is>
          <t>all</t>
        </is>
      </c>
      <c r="G45" s="4" t="n"/>
      <c r="H45" s="4" t="inlineStr">
        <is>
          <t>321c6fa0-a4ee-4e05-b085-7b4d51473495</t>
        </is>
      </c>
    </row>
    <row r="46">
      <c r="A46" s="4" t="n">
        <v>50</v>
      </c>
      <c r="B46" s="4" t="inlineStr">
        <is>
          <t>Faria</t>
        </is>
      </c>
      <c r="C46" s="4" t="inlineStr">
        <is>
          <t>Nava</t>
        </is>
      </c>
      <c r="D46" s="4" t="inlineStr">
        <is>
          <t>Unpaid leave of absence</t>
        </is>
      </c>
      <c r="E46" s="4" t="inlineStr">
        <is>
          <t>Salary</t>
        </is>
      </c>
      <c r="F46" s="4" t="inlineStr">
        <is>
          <t>all</t>
        </is>
      </c>
      <c r="G46" s="4" t="n"/>
      <c r="H46" s="4" t="inlineStr">
        <is>
          <t>321c6fa0-a4ee-4e05-b085-7b4d51473495</t>
        </is>
      </c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21" customWidth="1" min="4" max="4"/>
    <col width="16" customWidth="1" min="5" max="5"/>
    <col width="14" customWidth="1" min="6" max="6"/>
    <col width="14" customWidth="1" min="7" max="7"/>
    <col width="14" customWidth="1" min="8" max="8"/>
    <col width="3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relative_start_date</t>
        </is>
      </c>
      <c r="E1" s="1" t="inlineStr">
        <is>
          <t>project_length</t>
        </is>
      </c>
      <c r="F1" s="1" t="inlineStr">
        <is>
          <t>start_month</t>
        </is>
      </c>
      <c r="G1" s="1" t="inlineStr">
        <is>
          <t>end_month</t>
        </is>
      </c>
      <c r="H1" s="1" t="inlineStr">
        <is>
          <t>valid_for_TE</t>
        </is>
      </c>
      <c r="I1" s="1" t="inlineStr">
        <is>
          <t>dataset_id</t>
        </is>
      </c>
    </row>
    <row r="2">
      <c r="A2" s="5" t="n">
        <v>19</v>
      </c>
      <c r="B2" s="5" t="inlineStr">
        <is>
          <t>Azure Pines - Playground</t>
        </is>
      </c>
      <c r="C2" s="5" t="inlineStr">
        <is>
          <t>In progress</t>
        </is>
      </c>
      <c r="D2" s="5" t="inlineStr">
        <is>
          <t>5 mons</t>
        </is>
      </c>
      <c r="E2" s="5" t="inlineStr">
        <is>
          <t>9 mons</t>
        </is>
      </c>
      <c r="F2" s="5" t="n">
        <v>6</v>
      </c>
      <c r="G2" s="5" t="n">
        <v>12</v>
      </c>
      <c r="H2" s="5" t="inlineStr">
        <is>
          <t>YES</t>
        </is>
      </c>
      <c r="I2" s="5" t="inlineStr">
        <is>
          <t>321c6fa0-a4ee-4e05-b085-7b4d51473495</t>
        </is>
      </c>
    </row>
    <row r="3">
      <c r="A3" s="5" t="n">
        <v>20</v>
      </c>
      <c r="B3" s="5" t="inlineStr">
        <is>
          <t>GaleGuardian - Turbine</t>
        </is>
      </c>
      <c r="C3" s="5" t="inlineStr">
        <is>
          <t>In progress</t>
        </is>
      </c>
      <c r="D3" s="5" t="inlineStr">
        <is>
          <t>2 mons</t>
        </is>
      </c>
      <c r="E3" s="5" t="inlineStr">
        <is>
          <t>6 mons</t>
        </is>
      </c>
      <c r="F3" s="5" t="n">
        <v>3</v>
      </c>
      <c r="G3" s="5" t="n">
        <v>8</v>
      </c>
      <c r="H3" s="5" t="inlineStr">
        <is>
          <t>YES</t>
        </is>
      </c>
      <c r="I3" s="5" t="inlineStr">
        <is>
          <t>321c6fa0-a4ee-4e05-b085-7b4d51473495</t>
        </is>
      </c>
    </row>
    <row r="4">
      <c r="A4" s="5" t="n">
        <v>21</v>
      </c>
      <c r="B4" s="5" t="inlineStr">
        <is>
          <t>Intuit Dome</t>
        </is>
      </c>
      <c r="C4" s="5" t="inlineStr">
        <is>
          <t>In progress</t>
        </is>
      </c>
      <c r="D4" s="5" t="inlineStr">
        <is>
          <t>1 mon</t>
        </is>
      </c>
      <c r="E4" s="5" t="inlineStr">
        <is>
          <t>1 year</t>
        </is>
      </c>
      <c r="F4" s="5" t="n">
        <v>2</v>
      </c>
      <c r="G4" s="5" t="n">
        <v>12</v>
      </c>
      <c r="H4" s="5" t="inlineStr">
        <is>
          <t>YES</t>
        </is>
      </c>
      <c r="I4" s="5" t="inlineStr">
        <is>
          <t>321c6fa0-a4ee-4e05-b085-7b4d51473495</t>
        </is>
      </c>
    </row>
    <row r="5">
      <c r="A5" s="5" t="n">
        <v>22</v>
      </c>
      <c r="B5" s="5" t="inlineStr">
        <is>
          <t>Leap Labs - Solar Array</t>
        </is>
      </c>
      <c r="C5" s="5" t="inlineStr">
        <is>
          <t>In progress</t>
        </is>
      </c>
      <c r="D5" s="5" t="inlineStr">
        <is>
          <t>4 mons</t>
        </is>
      </c>
      <c r="E5" s="5" t="inlineStr">
        <is>
          <t>6 mons</t>
        </is>
      </c>
      <c r="F5" s="5" t="n">
        <v>5</v>
      </c>
      <c r="G5" s="5" t="n">
        <v>10</v>
      </c>
      <c r="H5" s="5" t="inlineStr">
        <is>
          <t>YES</t>
        </is>
      </c>
      <c r="I5" s="5" t="inlineStr">
        <is>
          <t>321c6fa0-a4ee-4e05-b085-7b4d51473495</t>
        </is>
      </c>
    </row>
    <row r="6">
      <c r="A6" s="5" t="n">
        <v>23</v>
      </c>
      <c r="B6" s="5" t="inlineStr">
        <is>
          <t>BMH Landscaping</t>
        </is>
      </c>
      <c r="C6" s="5" t="inlineStr">
        <is>
          <t>In progress</t>
        </is>
      </c>
      <c r="D6" s="5" t="inlineStr">
        <is>
          <t>3 mons</t>
        </is>
      </c>
      <c r="E6" s="5" t="inlineStr">
        <is>
          <t>9 mons</t>
        </is>
      </c>
      <c r="F6" s="5" t="n">
        <v>4</v>
      </c>
      <c r="G6" s="5" t="n">
        <v>12</v>
      </c>
      <c r="H6" s="5" t="inlineStr">
        <is>
          <t>YES</t>
        </is>
      </c>
      <c r="I6" s="5" t="inlineStr">
        <is>
          <t>321c6fa0-a4ee-4e05-b085-7b4d51473495</t>
        </is>
      </c>
    </row>
    <row r="7">
      <c r="A7" s="5" t="n">
        <v>24</v>
      </c>
      <c r="B7" s="5" t="inlineStr">
        <is>
          <t>TidalWave - Farmer's Market</t>
        </is>
      </c>
      <c r="C7" s="5" t="inlineStr">
        <is>
          <t>In progress</t>
        </is>
      </c>
      <c r="D7" s="5" t="inlineStr">
        <is>
          <t>4 mons</t>
        </is>
      </c>
      <c r="E7" s="5" t="inlineStr">
        <is>
          <t>1 year</t>
        </is>
      </c>
      <c r="F7" s="5" t="n">
        <v>5</v>
      </c>
      <c r="G7" s="5" t="n">
        <v>12</v>
      </c>
      <c r="H7" s="5" t="inlineStr">
        <is>
          <t>YES</t>
        </is>
      </c>
      <c r="I7" s="5" t="inlineStr">
        <is>
          <t>321c6fa0-a4ee-4e05-b085-7b4d51473495</t>
        </is>
      </c>
    </row>
    <row r="8">
      <c r="A8" s="2" t="n">
        <v>25</v>
      </c>
      <c r="B8" s="2" t="inlineStr">
        <is>
          <t>Rowe Hotel - Parking Lot</t>
        </is>
      </c>
      <c r="C8" s="2" t="inlineStr">
        <is>
          <t>Canceled</t>
        </is>
      </c>
      <c r="D8" s="2" t="inlineStr">
        <is>
          <t>6 mons</t>
        </is>
      </c>
      <c r="E8" s="2" t="inlineStr"/>
      <c r="F8" s="2" t="n"/>
      <c r="G8" s="2" t="n"/>
      <c r="H8" s="2" t="inlineStr">
        <is>
          <t>NO</t>
        </is>
      </c>
      <c r="I8" s="2" t="inlineStr">
        <is>
          <t>321c6fa0-a4ee-4e05-b085-7b4d51473495</t>
        </is>
      </c>
    </row>
    <row r="9">
      <c r="A9" s="2" t="n">
        <v>26</v>
      </c>
      <c r="B9" s="2" t="inlineStr">
        <is>
          <t>Arbor Dunes - Garden Walk</t>
        </is>
      </c>
      <c r="C9" s="2" t="inlineStr">
        <is>
          <t>Canceled</t>
        </is>
      </c>
      <c r="D9" s="2" t="inlineStr">
        <is>
          <t>8 mons</t>
        </is>
      </c>
      <c r="E9" s="2" t="inlineStr"/>
      <c r="F9" s="2" t="n"/>
      <c r="G9" s="2" t="n"/>
      <c r="H9" s="2" t="inlineStr">
        <is>
          <t>NO</t>
        </is>
      </c>
      <c r="I9" s="2" t="inlineStr">
        <is>
          <t>321c6fa0-a4ee-4e05-b085-7b4d51473495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purchasable</t>
        </is>
      </c>
      <c r="E1" s="1" t="inlineStr">
        <is>
          <t>cost</t>
        </is>
      </c>
      <c r="F1" s="1" t="inlineStr">
        <is>
          <t>dataset_id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52" customWidth="1" min="3" max="3"/>
    <col width="20" customWidth="1" min="4" max="4"/>
    <col width="35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valid_values</t>
        </is>
      </c>
      <c r="D1" s="1" t="inlineStr">
        <is>
          <t>distribution</t>
        </is>
      </c>
      <c r="E1" s="1" t="inlineStr">
        <is>
          <t>notes</t>
        </is>
      </c>
    </row>
    <row r="2">
      <c r="A2" s="4" t="inlineStr">
        <is>
          <t>ALL</t>
        </is>
      </c>
      <c r="B2" s="4" t="inlineStr">
        <is>
          <t>company_type</t>
        </is>
      </c>
      <c r="C2" s="4" t="inlineStr">
        <is>
          <t>parent|main_child|secondary_child</t>
        </is>
      </c>
      <c r="D2" s="4" t="inlineStr"/>
      <c r="E2" s="4" t="inlineStr">
        <is>
          <t>3 valid types</t>
        </is>
      </c>
    </row>
    <row r="3">
      <c r="A3" s="4" t="inlineStr">
        <is>
          <t>ALL</t>
        </is>
      </c>
      <c r="B3" s="4" t="inlineStr">
        <is>
          <t>base_date</t>
        </is>
      </c>
      <c r="C3" s="4" t="inlineStr">
        <is>
          <t>first_of_year</t>
        </is>
      </c>
      <c r="D3" s="4" t="inlineStr"/>
      <c r="E3" s="4" t="inlineStr">
        <is>
          <t>Always this value</t>
        </is>
      </c>
    </row>
    <row r="4">
      <c r="A4" s="4" t="inlineStr">
        <is>
          <t>estimates</t>
        </is>
      </c>
      <c r="B4" s="4" t="inlineStr">
        <is>
          <t>target_status</t>
        </is>
      </c>
      <c r="C4" s="4" t="inlineStr">
        <is>
          <t>accepted|cancelled</t>
        </is>
      </c>
      <c r="D4" s="4" t="inlineStr">
        <is>
          <t>97%|3%</t>
        </is>
      </c>
      <c r="E4" s="4" t="inlineStr">
        <is>
          <t>Only 2 valid values</t>
        </is>
      </c>
    </row>
    <row r="5">
      <c r="A5" s="4" t="inlineStr">
        <is>
          <t>invoices</t>
        </is>
      </c>
      <c r="B5" s="4" t="inlineStr">
        <is>
          <t>terms</t>
        </is>
      </c>
      <c r="C5" s="4" t="inlineStr">
        <is>
          <t>Net 30|Net 45|Net 60|Due on Receipt|Net 90</t>
        </is>
      </c>
      <c r="D5" s="4" t="inlineStr">
        <is>
          <t>40%|25%|20%|10%|5%</t>
        </is>
      </c>
      <c r="E5" s="4" t="inlineStr">
        <is>
          <t>Distribution for realism</t>
        </is>
      </c>
    </row>
    <row r="6">
      <c r="A6" s="4" t="inlineStr">
        <is>
          <t>bills</t>
        </is>
      </c>
      <c r="B6" s="4" t="inlineStr">
        <is>
          <t>terms</t>
        </is>
      </c>
      <c r="C6" s="4" t="inlineStr">
        <is>
          <t>Net 30|Net 45|Net 60|Due on Receipt|Net 90</t>
        </is>
      </c>
      <c r="D6" s="4" t="inlineStr">
        <is>
          <t>40%|25%|20%|10%|5%</t>
        </is>
      </c>
      <c r="E6" s="4" t="inlineStr">
        <is>
          <t>Same as invoices</t>
        </is>
      </c>
    </row>
    <row r="7">
      <c r="A7" s="4" t="inlineStr">
        <is>
          <t>bills</t>
        </is>
      </c>
      <c r="B7" s="4" t="inlineStr">
        <is>
          <t>status</t>
        </is>
      </c>
      <c r="C7" s="4" t="inlineStr">
        <is>
          <t>(empty string)</t>
        </is>
      </c>
      <c r="D7" s="4" t="inlineStr">
        <is>
          <t>100%</t>
        </is>
      </c>
      <c r="E7" s="4" t="inlineStr">
        <is>
          <t>Empty when paid (QBO convention)</t>
        </is>
      </c>
    </row>
    <row r="8">
      <c r="A8" s="4" t="inlineStr">
        <is>
          <t>time_entries</t>
        </is>
      </c>
      <c r="B8" s="4" t="inlineStr">
        <is>
          <t>entry_type</t>
        </is>
      </c>
      <c r="C8" s="4" t="inlineStr">
        <is>
          <t>Start and End Date</t>
        </is>
      </c>
      <c r="D8" s="4" t="inlineStr">
        <is>
          <t>100%</t>
        </is>
      </c>
      <c r="E8" s="4" t="inlineStr"/>
    </row>
    <row r="9">
      <c r="A9" s="4" t="inlineStr">
        <is>
          <t>time_entries</t>
        </is>
      </c>
      <c r="B9" s="4" t="inlineStr">
        <is>
          <t>timezone</t>
        </is>
      </c>
      <c r="C9" s="4" t="inlineStr">
        <is>
          <t>Pacific Time</t>
        </is>
      </c>
      <c r="D9" s="4" t="inlineStr">
        <is>
          <t>100%</t>
        </is>
      </c>
      <c r="E9" s="4" t="inlineStr"/>
    </row>
    <row r="10">
      <c r="A10" s="4" t="inlineStr">
        <is>
          <t>employees</t>
        </is>
      </c>
      <c r="B10" s="4" t="inlineStr">
        <is>
          <t>status</t>
        </is>
      </c>
      <c r="C10" s="4" t="inlineStr">
        <is>
          <t>Active|Terminated|Paid leave|Unpaid leave|Not on payroll</t>
        </is>
      </c>
      <c r="D10" s="4" t="inlineStr">
        <is>
          <t>71%|11%|7%|7%|4%</t>
        </is>
      </c>
      <c r="E10" s="4" t="inlineStr"/>
    </row>
    <row r="11">
      <c r="A11" s="4" t="inlineStr">
        <is>
          <t>employees</t>
        </is>
      </c>
      <c r="B11" s="4" t="inlineStr">
        <is>
          <t>pay_type</t>
        </is>
      </c>
      <c r="C11" s="4" t="inlineStr">
        <is>
          <t>Hourly|Salary</t>
        </is>
      </c>
      <c r="D11" s="4" t="inlineStr">
        <is>
          <t>53%|47%</t>
        </is>
      </c>
      <c r="E11" s="4" t="inlineStr">
        <is>
          <t>One record has lowercase 'hourly'</t>
        </is>
      </c>
    </row>
    <row r="12">
      <c r="A12" s="4" t="inlineStr">
        <is>
          <t>projects</t>
        </is>
      </c>
      <c r="B12" s="4" t="inlineStr">
        <is>
          <t>status</t>
        </is>
      </c>
      <c r="C12" s="4" t="inlineStr">
        <is>
          <t>In progress|Canceled</t>
        </is>
      </c>
      <c r="D12" s="4" t="inlineStr">
        <is>
          <t>75%|25%</t>
        </is>
      </c>
      <c r="E12" s="4" t="inlineStr">
        <is>
          <t>Only In progress valid for 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9" customWidth="1" min="9" max="9"/>
    <col width="14" customWidth="1" min="10" max="10"/>
    <col width="14" customWidth="1" min="11" max="11"/>
    <col width="16" customWidth="1" min="12" max="12"/>
    <col width="27" customWidth="1" min="13" max="13"/>
  </cols>
  <sheetData>
    <row r="1">
      <c r="A1" s="1" t="inlineStr">
        <is>
          <t>file_num</t>
        </is>
      </c>
      <c r="B1" s="1" t="inlineStr">
        <is>
          <t>filename</t>
        </is>
      </c>
      <c r="C1" s="1" t="inlineStr">
        <is>
          <t>target_table</t>
        </is>
      </c>
      <c r="D1" s="1" t="inlineStr">
        <is>
          <t>rows</t>
        </is>
      </c>
      <c r="E1" s="1" t="inlineStr">
        <is>
          <t>id_start</t>
        </is>
      </c>
      <c r="F1" s="1" t="inlineStr">
        <is>
          <t>id_end</t>
        </is>
      </c>
      <c r="G1" s="1" t="inlineStr">
        <is>
          <t>delimiter</t>
        </is>
      </c>
      <c r="H1" s="1" t="inlineStr">
        <is>
          <t>operation</t>
        </is>
      </c>
      <c r="I1" s="1" t="inlineStr">
        <is>
          <t>depends_on</t>
        </is>
      </c>
      <c r="J1" s="1" t="inlineStr">
        <is>
          <t>employee_fk</t>
        </is>
      </c>
      <c r="K1" s="1" t="inlineStr">
        <is>
          <t>project_fk</t>
        </is>
      </c>
      <c r="L1" s="1" t="inlineStr">
        <is>
          <t>status</t>
        </is>
      </c>
      <c r="M1" s="1" t="inlineStr">
        <is>
          <t>notes</t>
        </is>
      </c>
    </row>
    <row r="2">
      <c r="A2" s="5" t="n">
        <v>1</v>
      </c>
      <c r="B2" s="5" t="inlineStr">
        <is>
          <t>INGESTION_INVOICES_v12.csv</t>
        </is>
      </c>
      <c r="C2" s="5" t="inlineStr">
        <is>
          <t>quickbooks_invoices</t>
        </is>
      </c>
      <c r="D2" s="5" t="n">
        <v>335</v>
      </c>
      <c r="E2" s="5" t="n">
        <v>45135</v>
      </c>
      <c r="F2" s="5" t="n">
        <v>45469</v>
      </c>
      <c r="G2" s="5" t="inlineStr">
        <is>
          <t>,</t>
        </is>
      </c>
      <c r="H2" s="5" t="inlineStr">
        <is>
          <t>REPLACE</t>
        </is>
      </c>
      <c r="I2" s="5" t="inlineStr">
        <is>
          <t>customers,products</t>
        </is>
      </c>
      <c r="J2" s="5" t="inlineStr">
        <is>
          <t>NO</t>
        </is>
      </c>
      <c r="K2" s="5" t="inlineStr">
        <is>
          <t>NO</t>
        </is>
      </c>
      <c r="L2" s="5" t="inlineStr">
        <is>
          <t>READY</t>
        </is>
      </c>
      <c r="M2" s="5" t="inlineStr"/>
    </row>
    <row r="3">
      <c r="A3" s="5" t="n">
        <v>2</v>
      </c>
      <c r="B3" s="5" t="inlineStr">
        <is>
          <t>INGESTION_INVOICE_LINE_ITEMS_v8.csv</t>
        </is>
      </c>
      <c r="C3" s="5" t="inlineStr">
        <is>
          <t>quickbooks_invoice_line_items</t>
        </is>
      </c>
      <c r="D3" s="5" t="n">
        <v>1686</v>
      </c>
      <c r="E3" s="5" t="n">
        <v>119728</v>
      </c>
      <c r="F3" s="5" t="n">
        <v>121413</v>
      </c>
      <c r="G3" s="5" t="inlineStr">
        <is>
          <t>;</t>
        </is>
      </c>
      <c r="H3" s="5" t="inlineStr">
        <is>
          <t>REPLACE</t>
        </is>
      </c>
      <c r="I3" s="5" t="inlineStr">
        <is>
          <t>file_01</t>
        </is>
      </c>
      <c r="J3" s="5" t="inlineStr">
        <is>
          <t>NO</t>
        </is>
      </c>
      <c r="K3" s="5" t="inlineStr">
        <is>
          <t>NO</t>
        </is>
      </c>
      <c r="L3" s="5" t="inlineStr">
        <is>
          <t>READY</t>
        </is>
      </c>
      <c r="M3" s="5" t="inlineStr">
        <is>
          <t>SEMICOLON delimiter</t>
        </is>
      </c>
    </row>
    <row r="4">
      <c r="A4" s="3" t="n">
        <v>3</v>
      </c>
      <c r="B4" s="3" t="inlineStr">
        <is>
          <t>INGESTION_EXPENSES_v4.csv</t>
        </is>
      </c>
      <c r="C4" s="3" t="inlineStr">
        <is>
          <t>quickbooks_expenses</t>
        </is>
      </c>
      <c r="D4" s="3" t="n">
        <v>650</v>
      </c>
      <c r="E4" s="3" t="n">
        <v>9645</v>
      </c>
      <c r="F4" s="3" t="n">
        <v>10294</v>
      </c>
      <c r="G4" s="3" t="inlineStr">
        <is>
          <t>,</t>
        </is>
      </c>
      <c r="H4" s="3" t="inlineStr">
        <is>
          <t>REPLACE</t>
        </is>
      </c>
      <c r="I4" s="3" t="inlineStr">
        <is>
          <t>customers,vendors,employees</t>
        </is>
      </c>
      <c r="J4" s="3" t="inlineStr">
        <is>
          <t>YES</t>
        </is>
      </c>
      <c r="K4" s="3" t="inlineStr">
        <is>
          <t>NO</t>
        </is>
      </c>
      <c r="L4" s="3" t="inlineStr">
        <is>
          <t>FIXED(#21)</t>
        </is>
      </c>
      <c r="M4" s="3" t="inlineStr">
        <is>
          <t>8 employee IDs remapped</t>
        </is>
      </c>
    </row>
    <row r="5">
      <c r="A5" s="5" t="n">
        <v>4</v>
      </c>
      <c r="B5" s="5" t="inlineStr">
        <is>
          <t>INGESTION_EXPENSE_LINE_ITEMS_v4.csv</t>
        </is>
      </c>
      <c r="C5" s="5" t="inlineStr">
        <is>
          <t>quickbooks_expense_line_items</t>
        </is>
      </c>
      <c r="D5" s="5" t="n">
        <v>1006</v>
      </c>
      <c r="E5" s="5" t="n">
        <v>8016</v>
      </c>
      <c r="F5" s="5" t="n">
        <v>9021</v>
      </c>
      <c r="G5" s="5" t="inlineStr">
        <is>
          <t>,</t>
        </is>
      </c>
      <c r="H5" s="5" t="inlineStr">
        <is>
          <t>REPLACE</t>
        </is>
      </c>
      <c r="I5" s="5" t="inlineStr">
        <is>
          <t>file_03</t>
        </is>
      </c>
      <c r="J5" s="5" t="inlineStr">
        <is>
          <t>NO</t>
        </is>
      </c>
      <c r="K5" s="5" t="inlineStr">
        <is>
          <t>NO</t>
        </is>
      </c>
      <c r="L5" s="5" t="inlineStr">
        <is>
          <t>READY</t>
        </is>
      </c>
      <c r="M5" s="5" t="inlineStr"/>
    </row>
    <row r="6">
      <c r="A6" s="3" t="n">
        <v>5</v>
      </c>
      <c r="B6" s="3" t="inlineStr">
        <is>
          <t>INGESTION_BILLS_v5.csv</t>
        </is>
      </c>
      <c r="C6" s="3" t="inlineStr">
        <is>
          <t>quickbooks_bills</t>
        </is>
      </c>
      <c r="D6" s="3" t="n">
        <v>96</v>
      </c>
      <c r="E6" s="3" t="n">
        <v>4903</v>
      </c>
      <c r="F6" s="3" t="n">
        <v>4998</v>
      </c>
      <c r="G6" s="3" t="inlineStr">
        <is>
          <t>,</t>
        </is>
      </c>
      <c r="H6" s="3" t="inlineStr">
        <is>
          <t>REPLACE</t>
        </is>
      </c>
      <c r="I6" s="3" t="inlineStr">
        <is>
          <t>vendors,products</t>
        </is>
      </c>
      <c r="J6" s="3" t="inlineStr">
        <is>
          <t>NO</t>
        </is>
      </c>
      <c r="K6" s="3" t="inlineStr">
        <is>
          <t>NO</t>
        </is>
      </c>
      <c r="L6" s="3" t="inlineStr">
        <is>
          <t>FIXED(#20)</t>
        </is>
      </c>
      <c r="M6" s="3" t="inlineStr">
        <is>
          <t>TXN-13131 bill-PO fix</t>
        </is>
      </c>
    </row>
    <row r="7">
      <c r="A7" s="5" t="n">
        <v>6</v>
      </c>
      <c r="B7" s="5" t="inlineStr">
        <is>
          <t>INGESTION_BILLS_LINE_ITEMS_v5.csv</t>
        </is>
      </c>
      <c r="C7" s="5" t="inlineStr">
        <is>
          <t>quickbooks_bills_line_items</t>
        </is>
      </c>
      <c r="D7" s="5" t="n">
        <v>149</v>
      </c>
      <c r="E7" s="5" t="n">
        <v>5567</v>
      </c>
      <c r="F7" s="5" t="n">
        <v>5715</v>
      </c>
      <c r="G7" s="5" t="inlineStr">
        <is>
          <t>,</t>
        </is>
      </c>
      <c r="H7" s="5" t="inlineStr">
        <is>
          <t>REPLACE</t>
        </is>
      </c>
      <c r="I7" s="5" t="inlineStr">
        <is>
          <t>file_05,products</t>
        </is>
      </c>
      <c r="J7" s="5" t="inlineStr">
        <is>
          <t>NO</t>
        </is>
      </c>
      <c r="K7" s="5" t="inlineStr">
        <is>
          <t>NO</t>
        </is>
      </c>
      <c r="L7" s="5" t="inlineStr">
        <is>
          <t>READY</t>
        </is>
      </c>
      <c r="M7" s="5" t="inlineStr">
        <is>
          <t>purchasable products only</t>
        </is>
      </c>
    </row>
    <row r="8">
      <c r="A8" s="5" t="n">
        <v>7</v>
      </c>
      <c r="B8" s="5" t="inlineStr">
        <is>
          <t>INGESTION_ESTIMATES_v1.csv</t>
        </is>
      </c>
      <c r="C8" s="5" t="inlineStr">
        <is>
          <t>quickbooks_estimates</t>
        </is>
      </c>
      <c r="D8" s="5" t="n">
        <v>75</v>
      </c>
      <c r="E8" s="5" t="n">
        <v>766</v>
      </c>
      <c r="F8" s="5" t="n">
        <v>840</v>
      </c>
      <c r="G8" s="5" t="inlineStr">
        <is>
          <t>,</t>
        </is>
      </c>
      <c r="H8" s="5" t="inlineStr">
        <is>
          <t>REPLACE</t>
        </is>
      </c>
      <c r="I8" s="5" t="inlineStr">
        <is>
          <t>customers</t>
        </is>
      </c>
      <c r="J8" s="5" t="inlineStr">
        <is>
          <t>NO</t>
        </is>
      </c>
      <c r="K8" s="5" t="inlineStr">
        <is>
          <t>NO</t>
        </is>
      </c>
      <c r="L8" s="5" t="inlineStr">
        <is>
          <t>READY</t>
        </is>
      </c>
      <c r="M8" s="5" t="inlineStr"/>
    </row>
    <row r="9">
      <c r="A9" s="5" t="n">
        <v>8</v>
      </c>
      <c r="B9" s="5" t="inlineStr">
        <is>
          <t>INGESTION_ESTIMATE_LINE_ITEMS_v1.csv</t>
        </is>
      </c>
      <c r="C9" s="5" t="inlineStr">
        <is>
          <t>quickbooks_estimate_line_items</t>
        </is>
      </c>
      <c r="D9" s="5" t="n">
        <v>410</v>
      </c>
      <c r="E9" s="5" t="n">
        <v>4079</v>
      </c>
      <c r="F9" s="5" t="n">
        <v>4488</v>
      </c>
      <c r="G9" s="5" t="inlineStr">
        <is>
          <t>,</t>
        </is>
      </c>
      <c r="H9" s="5" t="inlineStr">
        <is>
          <t>REPLACE</t>
        </is>
      </c>
      <c r="I9" s="5" t="inlineStr">
        <is>
          <t>file_07</t>
        </is>
      </c>
      <c r="J9" s="5" t="inlineStr">
        <is>
          <t>NO</t>
        </is>
      </c>
      <c r="K9" s="5" t="inlineStr">
        <is>
          <t>NO</t>
        </is>
      </c>
      <c r="L9" s="5" t="inlineStr">
        <is>
          <t>READY</t>
        </is>
      </c>
      <c r="M9" s="5" t="inlineStr"/>
    </row>
    <row r="10">
      <c r="A10" s="5" t="n">
        <v>9</v>
      </c>
      <c r="B10" s="5" t="inlineStr">
        <is>
          <t>INGESTION_ESTIMATE_LI_CLASSIFICATIONS_v1.csv</t>
        </is>
      </c>
      <c r="C10" s="5" t="inlineStr">
        <is>
          <t>quickbooks_estimate_line_item_classifications</t>
        </is>
      </c>
      <c r="D10" s="5" t="n">
        <v>1640</v>
      </c>
      <c r="E10" s="5" t="n">
        <v>5626</v>
      </c>
      <c r="F10" s="5" t="n">
        <v>7265</v>
      </c>
      <c r="G10" s="5" t="inlineStr">
        <is>
          <t>,</t>
        </is>
      </c>
      <c r="H10" s="5" t="inlineStr">
        <is>
          <t>REPLACE</t>
        </is>
      </c>
      <c r="I10" s="5" t="inlineStr">
        <is>
          <t>file_08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READY</t>
        </is>
      </c>
      <c r="M10" s="5" t="inlineStr">
        <is>
          <t>4 per LI</t>
        </is>
      </c>
    </row>
    <row r="11">
      <c r="A11" s="5" t="n">
        <v>10</v>
      </c>
      <c r="B11" s="5" t="inlineStr">
        <is>
          <t>INGESTION_BANK_TRANSACTIONS_v1.csv</t>
        </is>
      </c>
      <c r="C11" s="5" t="inlineStr">
        <is>
          <t>quickbooks_bank_transactions</t>
        </is>
      </c>
      <c r="D11" s="5" t="n">
        <v>155</v>
      </c>
      <c r="E11" s="5" t="n">
        <v>1321</v>
      </c>
      <c r="F11" s="5" t="n">
        <v>1475</v>
      </c>
      <c r="G11" s="5" t="inlineStr">
        <is>
          <t>,</t>
        </is>
      </c>
      <c r="H11" s="5" t="inlineStr">
        <is>
          <t>REPLACE</t>
        </is>
      </c>
      <c r="I11" s="5" t="inlineStr">
        <is>
          <t>customers</t>
        </is>
      </c>
      <c r="J11" s="5" t="inlineStr">
        <is>
          <t>NO</t>
        </is>
      </c>
      <c r="K11" s="5" t="inlineStr">
        <is>
          <t>NO</t>
        </is>
      </c>
      <c r="L11" s="5" t="inlineStr">
        <is>
          <t>READY</t>
        </is>
      </c>
      <c r="M11" s="5" t="inlineStr"/>
    </row>
    <row r="12">
      <c r="A12" s="3" t="n">
        <v>11</v>
      </c>
      <c r="B12" s="3" t="inlineStr">
        <is>
          <t>PLA-3261_TIME_ENTRIES_v5_supplement.csv</t>
        </is>
      </c>
      <c r="C12" s="3" t="inlineStr">
        <is>
          <t>quickbooks_time_entries</t>
        </is>
      </c>
      <c r="D12" s="3" t="n">
        <v>1575</v>
      </c>
      <c r="E12" s="3" t="n">
        <v>73993</v>
      </c>
      <c r="F12" s="3" t="n">
        <v>77988</v>
      </c>
      <c r="G12" s="3" t="inlineStr">
        <is>
          <t>;</t>
        </is>
      </c>
      <c r="H12" s="3" t="inlineStr">
        <is>
          <t>APPEND</t>
        </is>
      </c>
      <c r="I12" s="3" t="inlineStr">
        <is>
          <t>employees,projects,products</t>
        </is>
      </c>
      <c r="J12" s="3" t="inlineStr">
        <is>
          <t>YES</t>
        </is>
      </c>
      <c r="K12" s="3" t="inlineStr">
        <is>
          <t>YES</t>
        </is>
      </c>
      <c r="L12" s="3" t="inlineStr">
        <is>
          <t>FIXED(#22,#24)</t>
        </is>
      </c>
      <c r="M12" s="3" t="inlineStr">
        <is>
          <t>Was 3996, now 1575</t>
        </is>
      </c>
    </row>
    <row r="13">
      <c r="A13" s="5" t="n">
        <v>12</v>
      </c>
      <c r="B13" s="5" t="inlineStr">
        <is>
          <t>INGESTION_PROJECT_TASKS_v1.csv</t>
        </is>
      </c>
      <c r="C13" s="5" t="inlineStr">
        <is>
          <t>quickbooks_project_tasks</t>
        </is>
      </c>
      <c r="D13" s="5" t="n">
        <v>65</v>
      </c>
      <c r="E13" s="5" t="n">
        <v>121</v>
      </c>
      <c r="F13" s="5" t="n">
        <v>185</v>
      </c>
      <c r="G13" s="5" t="inlineStr">
        <is>
          <t>,</t>
        </is>
      </c>
      <c r="H13" s="5" t="inlineStr">
        <is>
          <t>INSERT</t>
        </is>
      </c>
      <c r="I13" s="5" t="inlineStr">
        <is>
          <t>projects</t>
        </is>
      </c>
      <c r="J13" s="5" t="inlineStr">
        <is>
          <t>NO</t>
        </is>
      </c>
      <c r="K13" s="5" t="inlineStr">
        <is>
          <t>YES</t>
        </is>
      </c>
      <c r="L13" s="5" t="inlineStr">
        <is>
          <t>READY</t>
        </is>
      </c>
      <c r="M13" s="5" t="inlineStr"/>
    </row>
    <row r="14">
      <c r="A14" s="5" t="n">
        <v>13</v>
      </c>
      <c r="B14" s="5" t="inlineStr">
        <is>
          <t>INGESTION_PURCHASE_ORDERS_v1.csv</t>
        </is>
      </c>
      <c r="C14" s="5" t="inlineStr">
        <is>
          <t>quickbooks_purchase_orders</t>
        </is>
      </c>
      <c r="D14" s="5" t="n">
        <v>48</v>
      </c>
      <c r="E14" s="5" t="n">
        <v>280</v>
      </c>
      <c r="F14" s="5" t="n">
        <v>327</v>
      </c>
      <c r="G14" s="5" t="inlineStr">
        <is>
          <t>,</t>
        </is>
      </c>
      <c r="H14" s="5" t="inlineStr">
        <is>
          <t>INSERT</t>
        </is>
      </c>
      <c r="I14" s="5" t="inlineStr">
        <is>
          <t>vendors</t>
        </is>
      </c>
      <c r="J14" s="5" t="inlineStr">
        <is>
          <t>NO</t>
        </is>
      </c>
      <c r="K14" s="5" t="inlineStr">
        <is>
          <t>NO</t>
        </is>
      </c>
      <c r="L14" s="5" t="inlineStr">
        <is>
          <t>READY</t>
        </is>
      </c>
      <c r="M14" s="5" t="inlineStr">
        <is>
          <t>Table may need creation</t>
        </is>
      </c>
    </row>
    <row r="15">
      <c r="A15" s="5" t="n">
        <v>14</v>
      </c>
      <c r="B15" s="5" t="inlineStr">
        <is>
          <t>INGESTION_PO_LINE_ITEMS_v1.csv</t>
        </is>
      </c>
      <c r="C15" s="5" t="inlineStr">
        <is>
          <t>quickbooks_purchase_order_line_items</t>
        </is>
      </c>
      <c r="D15" s="5" t="n">
        <v>104</v>
      </c>
      <c r="E15" s="5" t="n">
        <v>1148</v>
      </c>
      <c r="F15" s="5" t="n">
        <v>1251</v>
      </c>
      <c r="G15" s="5" t="inlineStr">
        <is>
          <t>,</t>
        </is>
      </c>
      <c r="H15" s="5" t="inlineStr">
        <is>
          <t>INSERT</t>
        </is>
      </c>
      <c r="I15" s="5" t="inlineStr">
        <is>
          <t>file_13,products</t>
        </is>
      </c>
      <c r="J15" s="5" t="inlineStr">
        <is>
          <t>NO</t>
        </is>
      </c>
      <c r="K15" s="5" t="inlineStr">
        <is>
          <t>NO</t>
        </is>
      </c>
      <c r="L15" s="5" t="inlineStr">
        <is>
          <t>READY</t>
        </is>
      </c>
      <c r="M15" s="5" t="inlineStr"/>
    </row>
    <row r="16">
      <c r="A16" s="5" t="n">
        <v>15</v>
      </c>
      <c r="B16" s="5" t="inlineStr">
        <is>
          <t>INGESTION_PO_LI_CLASSIFICATIONS_v1.csv</t>
        </is>
      </c>
      <c r="C16" s="5" t="inlineStr">
        <is>
          <t>quickbooks_purchase_order_line_item_classifications</t>
        </is>
      </c>
      <c r="D16" s="5" t="n">
        <v>416</v>
      </c>
      <c r="E16" s="5" t="n">
        <v>3381</v>
      </c>
      <c r="F16" s="5" t="n">
        <v>3796</v>
      </c>
      <c r="G16" s="5" t="inlineStr">
        <is>
          <t>,</t>
        </is>
      </c>
      <c r="H16" s="5" t="inlineStr">
        <is>
          <t>INSERT</t>
        </is>
      </c>
      <c r="I16" s="5" t="inlineStr">
        <is>
          <t>file_14</t>
        </is>
      </c>
      <c r="J16" s="5" t="inlineStr">
        <is>
          <t>NO</t>
        </is>
      </c>
      <c r="K16" s="5" t="inlineStr">
        <is>
          <t>NO</t>
        </is>
      </c>
      <c r="L16" s="5" t="inlineStr">
        <is>
          <t>READY</t>
        </is>
      </c>
      <c r="M16" s="5" t="inlineStr">
        <is>
          <t>4 per LI</t>
        </is>
      </c>
    </row>
  </sheetData>
  <autoFilter ref="A1:M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3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2" customWidth="1" min="12" max="12"/>
  </cols>
  <sheetData>
    <row r="1">
      <c r="A1" s="1" t="inlineStr">
        <is>
          <t>dataset_id</t>
        </is>
      </c>
      <c r="B1" s="1" t="inlineStr">
        <is>
          <t>name</t>
        </is>
      </c>
      <c r="C1" s="1" t="inlineStr">
        <is>
          <t>db_host</t>
        </is>
      </c>
      <c r="D1" s="1" t="inlineStr">
        <is>
          <t>db_port</t>
        </is>
      </c>
      <c r="E1" s="1" t="inlineStr">
        <is>
          <t>db_user</t>
        </is>
      </c>
      <c r="F1" s="1" t="inlineStr">
        <is>
          <t>db_name</t>
        </is>
      </c>
      <c r="G1" s="1" t="inlineStr">
        <is>
          <t>total_csvs</t>
        </is>
      </c>
      <c r="H1" s="1" t="inlineStr">
        <is>
          <t>total_rows</t>
        </is>
      </c>
      <c r="I1" s="1" t="inlineStr">
        <is>
          <t>pl_income</t>
        </is>
      </c>
      <c r="J1" s="1" t="inlineStr">
        <is>
          <t>pl_net</t>
        </is>
      </c>
      <c r="K1" s="1" t="inlineStr">
        <is>
          <t>pl_margin</t>
        </is>
      </c>
      <c r="L1" s="1" t="inlineStr">
        <is>
          <t>notes</t>
        </is>
      </c>
    </row>
    <row r="2">
      <c r="A2" s="4" t="inlineStr">
        <is>
          <t>321c6fa0-a4ee-4e05-b085-7b4d51473495</t>
        </is>
      </c>
      <c r="B2" s="4" t="inlineStr">
        <is>
          <t>Keystone Construction</t>
        </is>
      </c>
      <c r="C2" s="4" t="inlineStr">
        <is>
          <t>tbx-postgres-staging.internal</t>
        </is>
      </c>
      <c r="D2" s="4" t="n">
        <v>5433</v>
      </c>
      <c r="E2" s="4" t="inlineStr">
        <is>
          <t>unstable</t>
        </is>
      </c>
      <c r="F2" s="4" t="inlineStr">
        <is>
          <t>unstable</t>
        </is>
      </c>
      <c r="G2" s="4" t="n">
        <v>15</v>
      </c>
      <c r="H2" s="4" t="n">
        <v>9406</v>
      </c>
      <c r="I2" s="4" t="inlineStr">
        <is>
          <t>$10.93M</t>
        </is>
      </c>
      <c r="J2" s="4" t="inlineStr">
        <is>
          <t>+$2.93M</t>
        </is>
      </c>
      <c r="K2" s="4" t="inlineStr">
        <is>
          <t>26.8%</t>
        </is>
      </c>
      <c r="L2" s="4" t="inlineStr">
        <is>
          <t>parent=Keystone Construction, main_child=BlueCraft, secondary_child=Terra+5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45" customWidth="1" min="4" max="4"/>
    <col width="36" customWidth="1" min="5" max="5"/>
    <col width="38" customWidth="1" min="6" max="6"/>
    <col width="15" customWidth="1" min="7" max="7"/>
    <col width="15" customWidth="1" min="8" max="8"/>
  </cols>
  <sheetData>
    <row r="1">
      <c r="A1" s="1" t="inlineStr">
        <is>
          <t>bug_id</t>
        </is>
      </c>
      <c r="B1" s="1" t="inlineStr">
        <is>
          <t>date</t>
        </is>
      </c>
      <c r="C1" s="1" t="inlineStr">
        <is>
          <t>file_affected</t>
        </is>
      </c>
      <c r="D1" s="1" t="inlineStr">
        <is>
          <t>issue</t>
        </is>
      </c>
      <c r="E1" s="1" t="inlineStr">
        <is>
          <t>root_cause</t>
        </is>
      </c>
      <c r="F1" s="1" t="inlineStr">
        <is>
          <t>fix</t>
        </is>
      </c>
      <c r="G1" s="1" t="inlineStr">
        <is>
          <t>rows_affected</t>
        </is>
      </c>
      <c r="H1" s="1" t="inlineStr">
        <is>
          <t>rule_added</t>
        </is>
      </c>
    </row>
    <row r="2">
      <c r="A2" s="4" t="inlineStr">
        <is>
          <t>#1</t>
        </is>
      </c>
      <c r="B2" s="4" t="inlineStr">
        <is>
          <t>2026-01</t>
        </is>
      </c>
      <c r="C2" s="4" t="inlineStr">
        <is>
          <t>invoices</t>
        </is>
      </c>
      <c r="D2" s="4" t="inlineStr">
        <is>
          <t>Date clustering</t>
        </is>
      </c>
      <c r="E2" s="4" t="inlineStr">
        <is>
          <t>All dates in same week</t>
        </is>
      </c>
      <c r="F2" s="4" t="inlineStr">
        <is>
          <t>Seasonal redistribution</t>
        </is>
      </c>
      <c r="G2" s="4" t="inlineStr">
        <is>
          <t>335</t>
        </is>
      </c>
      <c r="H2" s="4" t="inlineStr"/>
    </row>
    <row r="3">
      <c r="A3" s="4" t="inlineStr">
        <is>
          <t>#2</t>
        </is>
      </c>
      <c r="B3" s="4" t="inlineStr">
        <is>
          <t>2026-01</t>
        </is>
      </c>
      <c r="C3" s="4" t="inlineStr">
        <is>
          <t>invoices</t>
        </is>
      </c>
      <c r="D3" s="4" t="inlineStr">
        <is>
          <t>Customer ID collision</t>
        </is>
      </c>
      <c r="E3" s="4" t="inlineStr">
        <is>
          <t>IDs 51-75 clashed</t>
        </is>
      </c>
      <c r="F3" s="4" t="inlineStr">
        <is>
          <t>Remapped to 10616-10640</t>
        </is>
      </c>
      <c r="G3" s="4" t="inlineStr">
        <is>
          <t>335</t>
        </is>
      </c>
      <c r="H3" s="4" t="inlineStr"/>
    </row>
    <row r="4">
      <c r="A4" s="4" t="inlineStr">
        <is>
          <t>#4</t>
        </is>
      </c>
      <c r="B4" s="4" t="inlineStr">
        <is>
          <t>2026-01</t>
        </is>
      </c>
      <c r="C4" s="4" t="inlineStr">
        <is>
          <t>ALL</t>
        </is>
      </c>
      <c r="D4" s="4" t="inlineStr">
        <is>
          <t>P&amp;L negative ($16.3M costs vs $6.7M income)</t>
        </is>
      </c>
      <c r="E4" s="4" t="inlineStr">
        <is>
          <t>No budget cap</t>
        </is>
      </c>
      <c r="F4" s="4" t="inlineStr">
        <is>
          <t>Budget cap per CT</t>
        </is>
      </c>
      <c r="G4" s="4" t="inlineStr">
        <is>
          <t>ALL</t>
        </is>
      </c>
      <c r="H4" s="4" t="inlineStr">
        <is>
          <t>BIZ_003</t>
        </is>
      </c>
    </row>
    <row r="5">
      <c r="A5" s="4" t="inlineStr">
        <is>
          <t>#5</t>
        </is>
      </c>
      <c r="B5" s="4" t="inlineStr">
        <is>
          <t>2026-01</t>
        </is>
      </c>
      <c r="C5" s="4" t="inlineStr">
        <is>
          <t>ALL</t>
        </is>
      </c>
      <c r="D5" s="4" t="inlineStr">
        <is>
          <t>Dates &gt; 1 year</t>
        </is>
      </c>
      <c r="E5" s="4" t="inlineStr">
        <is>
          <t>No 365-day limit</t>
        </is>
      </c>
      <c r="F5" s="4" t="inlineStr">
        <is>
          <t>Compressed to 365d</t>
        </is>
      </c>
      <c r="G5" s="4" t="inlineStr">
        <is>
          <t>ALL</t>
        </is>
      </c>
      <c r="H5" s="4" t="inlineStr">
        <is>
          <t>QB_003</t>
        </is>
      </c>
    </row>
    <row r="6">
      <c r="A6" s="4" t="inlineStr">
        <is>
          <t>#7</t>
        </is>
      </c>
      <c r="B6" s="4" t="inlineStr">
        <is>
          <t>2026-01</t>
        </is>
      </c>
      <c r="C6" s="4" t="inlineStr">
        <is>
          <t>invoices</t>
        </is>
      </c>
      <c r="D6" s="4" t="inlineStr">
        <is>
          <t>Payroll not accounted ($1.78M)</t>
        </is>
      </c>
      <c r="E6" s="4" t="inlineStr">
        <is>
          <t>Hidden main_child payroll</t>
        </is>
      </c>
      <c r="F6" s="4" t="inlineStr">
        <is>
          <t>Income boosted</t>
        </is>
      </c>
      <c r="G6" s="4" t="inlineStr">
        <is>
          <t>335</t>
        </is>
      </c>
      <c r="H6" s="4" t="inlineStr">
        <is>
          <t>BIZ_004</t>
        </is>
      </c>
    </row>
    <row r="7">
      <c r="A7" s="4" t="inlineStr">
        <is>
          <t>#8</t>
        </is>
      </c>
      <c r="B7" s="4" t="inlineStr">
        <is>
          <t>2026-01</t>
        </is>
      </c>
      <c r="C7" s="4" t="inlineStr">
        <is>
          <t>bills</t>
        </is>
      </c>
      <c r="D7" s="4" t="inlineStr">
        <is>
          <t>Cross-dataset FK contamination</t>
        </is>
      </c>
      <c r="E7" s="4" t="inlineStr">
        <is>
          <t>Referenced wrong dataset IDs</t>
        </is>
      </c>
      <c r="F7" s="4" t="inlineStr">
        <is>
          <t>Regenerated with valid IDs only</t>
        </is>
      </c>
      <c r="G7" s="4" t="inlineStr">
        <is>
          <t>96</t>
        </is>
      </c>
      <c r="H7" s="4" t="inlineStr">
        <is>
          <t>QB_009</t>
        </is>
      </c>
    </row>
    <row r="8">
      <c r="A8" s="4" t="inlineStr">
        <is>
          <t>#10</t>
        </is>
      </c>
      <c r="B8" s="4" t="inlineStr">
        <is>
          <t>2026-01</t>
        </is>
      </c>
      <c r="C8" s="4" t="inlineStr">
        <is>
          <t>invoices</t>
        </is>
      </c>
      <c r="D8" s="4" t="inlineStr">
        <is>
          <t>Monthly P&amp;L negative Jan-Jun</t>
        </is>
      </c>
      <c r="E8" s="4" t="inlineStr">
        <is>
          <t>Uneven distribution</t>
        </is>
      </c>
      <c r="F8" s="4" t="inlineStr">
        <is>
          <t>v12 deterministic per-month</t>
        </is>
      </c>
      <c r="G8" s="4" t="inlineStr">
        <is>
          <t>335</t>
        </is>
      </c>
      <c r="H8" s="4" t="inlineStr">
        <is>
          <t>QB_014</t>
        </is>
      </c>
    </row>
    <row r="9">
      <c r="A9" s="4" t="inlineStr">
        <is>
          <t>#11</t>
        </is>
      </c>
      <c r="B9" s="4" t="inlineStr">
        <is>
          <t>2026-01</t>
        </is>
      </c>
      <c r="C9" s="4" t="inlineStr">
        <is>
          <t>invoices</t>
        </is>
      </c>
      <c r="D9" s="4" t="inlineStr">
        <is>
          <t>COGS not accounted</t>
        </is>
      </c>
      <c r="E9" s="4" t="inlineStr">
        <is>
          <t>38 inventory products ignored</t>
        </is>
      </c>
      <c r="F9" s="4" t="inlineStr">
        <is>
          <t>Service bias + income +25%</t>
        </is>
      </c>
      <c r="G9" s="4" t="inlineStr">
        <is>
          <t>335</t>
        </is>
      </c>
      <c r="H9" s="4" t="inlineStr">
        <is>
          <t>BIZ_002</t>
        </is>
      </c>
    </row>
    <row r="10">
      <c r="A10" s="4" t="inlineStr">
        <is>
          <t>#14</t>
        </is>
      </c>
      <c r="B10" s="4" t="inlineStr">
        <is>
          <t>2026-02</t>
        </is>
      </c>
      <c r="C10" s="4" t="inlineStr">
        <is>
          <t>time_entries</t>
        </is>
      </c>
      <c r="D10" s="4" t="inlineStr">
        <is>
          <t>Projects 23-26 had 0 TEs</t>
        </is>
      </c>
      <c r="E10" s="4" t="inlineStr">
        <is>
          <t>v4 missed them</t>
        </is>
      </c>
      <c r="F10" s="4" t="inlineStr">
        <is>
          <t>v5 supplement created</t>
        </is>
      </c>
      <c r="G10" s="4" t="inlineStr">
        <is>
          <t>3996</t>
        </is>
      </c>
      <c r="H10" s="4" t="inlineStr"/>
    </row>
    <row r="11">
      <c r="A11" s="4" t="inlineStr">
        <is>
          <t>#16</t>
        </is>
      </c>
      <c r="B11" s="4" t="inlineStr">
        <is>
          <t>2026-02</t>
        </is>
      </c>
      <c r="C11" s="4" t="inlineStr">
        <is>
          <t>bills</t>
        </is>
      </c>
      <c r="D11" s="4" t="inlineStr">
        <is>
          <t>status='open' inconsistent</t>
        </is>
      </c>
      <c r="E11" s="4" t="inlineStr">
        <is>
          <t>Should be empty when paid</t>
        </is>
      </c>
      <c r="F11" s="4" t="inlineStr">
        <is>
          <t>Patched to empty string</t>
        </is>
      </c>
      <c r="G11" s="4" t="inlineStr">
        <is>
          <t>96</t>
        </is>
      </c>
      <c r="H11" s="4" t="inlineStr">
        <is>
          <t>RL_010</t>
        </is>
      </c>
    </row>
    <row r="12">
      <c r="A12" s="4" t="inlineStr">
        <is>
          <t>#17</t>
        </is>
      </c>
      <c r="B12" s="4" t="inlineStr">
        <is>
          <t>2026-02</t>
        </is>
      </c>
      <c r="C12" s="4" t="inlineStr">
        <is>
          <t>estimates</t>
        </is>
      </c>
      <c r="D12" s="4" t="inlineStr">
        <is>
          <t>Invalid statuses</t>
        </is>
      </c>
      <c r="E12" s="4" t="inlineStr">
        <is>
          <t>Had 'rejected','pending'</t>
        </is>
      </c>
      <c r="F12" s="4" t="inlineStr">
        <is>
          <t>Only accepted/cancelled</t>
        </is>
      </c>
      <c r="G12" s="4" t="inlineStr">
        <is>
          <t>75</t>
        </is>
      </c>
      <c r="H12" s="4" t="inlineStr">
        <is>
          <t>QB_018</t>
        </is>
      </c>
    </row>
    <row r="13">
      <c r="A13" s="4" t="inlineStr">
        <is>
          <t>#19</t>
        </is>
      </c>
      <c r="B13" s="4" t="inlineStr">
        <is>
          <t>2026-02</t>
        </is>
      </c>
      <c r="C13" s="4" t="inlineStr">
        <is>
          <t>bills,expenses</t>
        </is>
      </c>
      <c r="D13" s="4" t="inlineStr">
        <is>
          <t>Missing cross-table links</t>
        </is>
      </c>
      <c r="E13" s="4" t="inlineStr">
        <is>
          <t>No bill-PO or exp-est links</t>
        </is>
      </c>
      <c r="F13" s="4" t="inlineStr">
        <is>
          <t>31% bill-PO, 7.8% exp-est</t>
        </is>
      </c>
      <c r="G13" s="4" t="inlineStr">
        <is>
          <t>96+650</t>
        </is>
      </c>
      <c r="H13" s="4" t="inlineStr">
        <is>
          <t>RL_007,RL_008</t>
        </is>
      </c>
    </row>
    <row r="14">
      <c r="A14" s="4" t="inlineStr">
        <is>
          <t>#20</t>
        </is>
      </c>
      <c r="B14" s="4" t="inlineStr">
        <is>
          <t>2026-02-08</t>
        </is>
      </c>
      <c r="C14" s="4" t="inlineStr">
        <is>
          <t>bills</t>
        </is>
      </c>
      <c r="D14" s="4" t="inlineStr">
        <is>
          <t>TXN-13131 bill-PO product mismatch</t>
        </is>
      </c>
      <c r="E14" s="4" t="inlineStr">
        <is>
          <t>Bills linked by vendor not product</t>
        </is>
      </c>
      <c r="F14" s="4" t="inlineStr">
        <is>
          <t>6 reassigned, 9 unlinked, 3 improved</t>
        </is>
      </c>
      <c r="G14" s="4" t="inlineStr">
        <is>
          <t>18</t>
        </is>
      </c>
      <c r="H14" s="4" t="inlineStr"/>
    </row>
    <row r="15">
      <c r="A15" s="4" t="inlineStr">
        <is>
          <t>#21</t>
        </is>
      </c>
      <c r="B15" s="4" t="inlineStr">
        <is>
          <t>2026-02-09</t>
        </is>
      </c>
      <c r="C15" s="4" t="inlineStr">
        <is>
          <t>expenses</t>
        </is>
      </c>
      <c r="D15" s="4" t="inlineStr">
        <is>
          <t>Employee FK violation</t>
        </is>
      </c>
      <c r="E15" s="4" t="inlineStr">
        <is>
          <t>Used range(1,51) but 6 gaps exist</t>
        </is>
      </c>
      <c r="F15" s="4" t="inlineStr">
        <is>
          <t>8 rows remapped to valid IDs</t>
        </is>
      </c>
      <c r="G15" s="4" t="inlineStr">
        <is>
          <t>8</t>
        </is>
      </c>
      <c r="H15" s="4" t="inlineStr">
        <is>
          <t>QB_020</t>
        </is>
      </c>
    </row>
    <row r="16">
      <c r="A16" s="4" t="inlineStr">
        <is>
          <t>#22</t>
        </is>
      </c>
      <c r="B16" s="4" t="inlineStr">
        <is>
          <t>2026-02-09</t>
        </is>
      </c>
      <c r="C16" s="4" t="inlineStr">
        <is>
          <t>time_entries</t>
        </is>
      </c>
      <c r="D16" s="4" t="inlineStr">
        <is>
          <t>Cancelled projects 25,26</t>
        </is>
      </c>
      <c r="E16" s="4" t="inlineStr">
        <is>
          <t>Script hardcoded [23,24,25,26]</t>
        </is>
      </c>
      <c r="F16" s="4" t="inlineStr">
        <is>
          <t>1800 rows removed</t>
        </is>
      </c>
      <c r="G16" s="4" t="inlineStr">
        <is>
          <t>1800</t>
        </is>
      </c>
      <c r="H16" s="4" t="inlineStr">
        <is>
          <t>QB_021</t>
        </is>
      </c>
    </row>
    <row r="17">
      <c r="A17" s="4" t="inlineStr">
        <is>
          <t>#24</t>
        </is>
      </c>
      <c r="B17" s="4" t="inlineStr">
        <is>
          <t>2026-02-09</t>
        </is>
      </c>
      <c r="C17" s="4" t="inlineStr">
        <is>
          <t>time_entries</t>
        </is>
      </c>
      <c r="D17" s="4" t="inlineStr">
        <is>
          <t>Dates outside project period</t>
        </is>
      </c>
      <c r="E17" s="4" t="inlineStr">
        <is>
          <t>No project date range check</t>
        </is>
      </c>
      <c r="F17" s="4" t="inlineStr">
        <is>
          <t>621 rows removed</t>
        </is>
      </c>
      <c r="G17" s="4" t="inlineStr">
        <is>
          <t>621</t>
        </is>
      </c>
      <c r="H17" s="4" t="inlineStr">
        <is>
          <t>QB_022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2026-02-09T19:36:24Z</dcterms:created>
  <dcterms:modified xmlns:dcterms="http://purl.org/dc/terms/" xmlns:xsi="http://www.w3.org/2001/XMLSchema-instance" xsi:type="dcterms:W3CDTF">2026-02-09T19:36:25Z</dcterms:modified>
</cp:coreProperties>
</file>